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e9220a6a9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27b74498f4e744c6"/>
    <x:sheet xmlns:r="http://schemas.openxmlformats.org/officeDocument/2006/relationships" name="Epics" sheetId="2" r:id="R933b84111f2e4a50"/>
    <x:sheet xmlns:r="http://schemas.openxmlformats.org/officeDocument/2006/relationships" name="User Stories" sheetId="3" r:id="Rfa00b42c2c42400a"/>
    <x:sheet xmlns:r="http://schemas.openxmlformats.org/officeDocument/2006/relationships" name="Release Gates" sheetId="4" r:id="R135589e70e7e4082"/>
    <x:sheet xmlns:r="http://schemas.openxmlformats.org/officeDocument/2006/relationships" name="References" sheetId="5" r:id="Rde98c2a00353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11">
    <x:font>
      <x:sz val="11"/>
      <x:name val="Carlito"/>
    </x:font>
    <x:font>
      <x:b/>
      <x:sz val="20"/>
      <x:color rgb="FFFFFFFF"/>
      <x:name val="Carlito"/>
    </x:font>
    <x:font>
      <x:sz val="10"/>
      <x:color rgb="FFD7E8E5"/>
      <x:name val="Carlito"/>
    </x:font>
    <x:font>
      <x:b/>
      <x:sz val="10"/>
      <x:color rgb="FF003B36"/>
      <x:name val="Carlito"/>
    </x:font>
    <x:font>
      <x:b/>
      <x:sz val="16"/>
      <x:color rgb="FF003B36"/>
      <x:name val="Carlito"/>
    </x:font>
    <x:font>
      <x:b/>
      <x:sz val="10"/>
      <x:color rgb="FFFFFFFF"/>
      <x:name val="Carlito"/>
    </x:font>
    <x:font>
      <x:sz val="10"/>
      <x:color rgb="FF17312F"/>
      <x:name val="Carlito"/>
    </x:font>
    <x:font>
      <x:i/>
      <x:sz val="9"/>
      <x:color rgb="FF003B36"/>
      <x:name val="Carlito"/>
    </x:font>
    <x:font>
      <x:b/>
      <x:sz val="9"/>
      <x:color rgb="FF003B36"/>
      <x:name val="Carlito"/>
    </x:font>
    <x:font>
      <x:b/>
      <x:sz val="11"/>
      <x:color rgb="FF003B36"/>
      <x:name val="Carlito"/>
    </x:font>
    <x:font>
      <x:b/>
      <x:sz val="10"/>
      <x:color rgb="FF007A7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3B36"/>
      </x:patternFill>
    </x:fill>
    <x:fill>
      <x:patternFill patternType="solid">
        <x:fgColor rgb="FFE5F2F0"/>
      </x:patternFill>
    </x:fill>
    <x:fill>
      <x:patternFill patternType="solid">
        <x:fgColor rgb="FFFFF4D6"/>
      </x:patternFill>
    </x:fill>
    <x:fill>
      <x:patternFill patternType="solid">
        <x:fgColor rgb="FF007A73"/>
      </x:patternFill>
    </x:fill>
    <x:fill>
      <x:patternFill patternType="solid">
        <x:fgColor rgb="FFF5B942"/>
      </x:patternFill>
    </x:fill>
  </x:fills>
  <x:borders count="9">
    <x:border/>
    <x:border>
      <x:left style="thin">
        <x:color rgb="FFD7E2E0"/>
      </x:left>
      <x:top style="thin">
        <x:color rgb="FFD7E2E0"/>
      </x:top>
    </x:border>
    <x:border>
      <x:top style="thin">
        <x:color rgb="FFD7E2E0"/>
      </x:top>
    </x:border>
    <x:border>
      <x:right style="thin">
        <x:color rgb="FFD7E2E0"/>
      </x:right>
      <x:top style="thin">
        <x:color rgb="FFD7E2E0"/>
      </x:top>
    </x:border>
    <x:border>
      <x:left style="thin">
        <x:color rgb="FFD7E2E0"/>
      </x:left>
      <x:bottom style="thin">
        <x:color rgb="FFD7E2E0"/>
      </x:bottom>
    </x:border>
    <x:border>
      <x:bottom style="thin">
        <x:color rgb="FFD7E2E0"/>
      </x:bottom>
    </x:border>
    <x:border>
      <x:right style="thin">
        <x:color rgb="FFD7E2E0"/>
      </x:right>
      <x:bottom style="thin">
        <x:color rgb="FFD7E2E0"/>
      </x:bottom>
    </x:border>
    <x:border>
      <x:bottom style="medium">
        <x:color rgb="FF003B36"/>
      </x:bottom>
    </x:border>
    <x:border>
      <x:top style="thin">
        <x:color rgb="FFD7E2E0"/>
      </x:top>
      <x:bottom style="thin">
        <x:color rgb="FFD7E2E0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8" xfId="0" applyNumberFormat="1" applyFont="1" applyFill="1" applyBorder="1"/>
    <x:xf numFmtId="0" fontId="6" fillId="0" borderId="2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horizontal="center" vertical="top" wrapText="1"/>
    </x:xf>
    <x:xf numFmtId="0" fontId="6" fillId="0" borderId="8" xfId="0" applyNumberFormat="1" applyFont="1" applyFill="1" applyBorder="1" applyAlignment="1">
      <x:alignment horizontal="center" vertical="top" wrapText="1"/>
    </x:xf>
    <x:xf numFmtId="0" fontId="6" fillId="0" borderId="2" xfId="0" applyNumberFormat="1" applyFont="1" applyFill="1" applyBorder="1" applyAlignment="1">
      <x:alignment horizontal="center" vertical="top" wrapText="1"/>
    </x:xf>
    <x:xf numFmtId="200" fontId="6" fillId="0" borderId="5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top" wrapText="1"/>
    </x:xf>
    <x:xf numFmtId="0" fontId="6" fillId="3" borderId="8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  <x:xf numFmtId="0" fontId="10" fillId="3" borderId="5" xfId="0" applyNumberFormat="1" applyFont="1" applyFill="1" applyBorder="1" applyAlignment="1">
      <x:alignment vertical="top" wrapText="1"/>
    </x:xf>
    <x:xf numFmtId="0" fontId="10" fillId="3" borderId="8" xfId="0" applyNumberFormat="1" applyFont="1" applyFill="1" applyBorder="1" applyAlignment="1">
      <x:alignment vertical="top" wrapText="1"/>
    </x:xf>
    <x:xf numFmtId="0" fontId="10" fillId="3" borderId="2" xfId="0" applyNumberFormat="1" applyFont="1" applyFill="1" applyBorder="1" applyAlignment="1">
      <x:alignment vertical="top" wrapText="1"/>
    </x:xf>
    <x:xf numFmtId="0" fontId="10" fillId="3" borderId="5" xfId="0" applyNumberFormat="1" applyFont="1" applyFill="1" applyBorder="1" applyAlignment="1">
      <x:alignment horizontal="center" vertical="top" wrapText="1"/>
    </x:xf>
    <x:xf numFmtId="0" fontId="10" fillId="3" borderId="8" xfId="0" applyNumberFormat="1" applyFont="1" applyFill="1" applyBorder="1" applyAlignment="1">
      <x:alignment horizontal="center" vertical="top" wrapText="1"/>
    </x:xf>
    <x:xf numFmtId="0" fontId="10" fillId="3" borderId="2" xfId="0" applyNumberFormat="1" applyFont="1" applyFill="1" applyBorder="1" applyAlignment="1">
      <x:alignment horizontal="center" vertical="top" wrapText="1"/>
    </x:xf>
    <x:xf numFmtId="0" fontId="10" fillId="3" borderId="5" xfId="0" applyNumberFormat="1" applyFont="1" applyFill="1" applyBorder="1" applyAlignment="1">
      <x:alignment horizontal="center" vertical="center" wrapText="1"/>
    </x:xf>
    <x:xf numFmtId="0" fontId="10" fillId="3" borderId="8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201" fontId="6" fillId="0" borderId="5" xfId="0" applyNumberFormat="1" applyFont="1" applyFill="1" applyBorder="1" applyAlignment="1">
      <x:alignment vertical="top" wrapText="1"/>
    </x:xf>
    <x:xf numFmtId="201" fontId="6" fillId="0" borderId="8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003B36"/>
      </x:font>
      <x:fill>
        <x:patternFill patternType="solid">
          <x:bgColor rgb="FFFFF4D6"/>
        </x:patternFill>
      </x:fill>
    </x:dxf>
    <x:dxf>
      <x:font>
        <x:b/>
        <x:color rgb="FF007A73"/>
      </x:font>
      <x:fill>
        <x:patternFill patternType="solid">
          <x:bgColor rgb="FFEAF2F8"/>
        </x:patternFill>
      </x:fill>
    </x:dxf>
    <x:dxf>
      <x:font>
        <x:b/>
        <x:color rgb="FF2E7D5B"/>
      </x:font>
      <x:fill>
        <x:patternFill patternType="solid">
          <x:bgColor rgb="FFE5F2F0"/>
        </x:patternFill>
      </x:fill>
    </x:dxf>
    <x:dxf>
      <x:font>
        <x:b/>
        <x:color rgb="FF007A73"/>
      </x:font>
      <x:fill>
        <x:patternFill patternType="solid">
          <x:bgColor rgb="FFEAF2F8"/>
        </x:patternFill>
      </x:fill>
    </x:dxf>
    <x:dxf>
      <x:font>
        <x:b/>
        <x:color rgb="FFC84A3A"/>
      </x:font>
      <x:fill>
        <x:patternFill patternType="solid">
          <x:bgColor rgb="FFFCE8E2"/>
        </x:patternFill>
      </x:fill>
    </x:dxf>
    <x:dxf>
      <x:font>
        <x:color rgb="FF667C79"/>
      </x:font>
      <x:fill>
        <x:patternFill patternType="solid">
          <x:bgColor rgb="FFF2F4F7"/>
        </x:patternFill>
      </x:fill>
    </x:dxf>
    <x:dxf>
      <x:font>
        <x:b/>
        <x:color rgb="FF2E7D5B"/>
      </x:font>
      <x:fill>
        <x:patternFill patternType="solid">
          <x:bgColor rgb="FFE5F2F0"/>
        </x:patternFill>
      </x:fill>
    </x:dxf>
    <x:dxf>
      <x:font>
        <x:b/>
        <x:color rgb="FF007A73"/>
      </x:font>
      <x:fill>
        <x:patternFill patternType="solid">
          <x:bgColor rgb="FFEAF2F8"/>
        </x:patternFill>
      </x:fill>
    </x:dxf>
    <x:dxf>
      <x:font>
        <x:b/>
        <x:color rgb="FFC84A3A"/>
      </x:font>
      <x:fill>
        <x:patternFill patternType="solid">
          <x:bgColor rgb="FFFCE8E2"/>
        </x:patternFill>
      </x:fill>
    </x:dxf>
    <x:dxf>
      <x:font>
        <x:color rgb="FF667C79"/>
      </x:font>
      <x:fill>
        <x:patternFill patternType="solid">
          <x:bgColor rgb="FFF2F4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0467e68354932" /><Relationship Type="http://schemas.openxmlformats.org/officeDocument/2006/relationships/theme" Target="/xl/theme/theme1.xml" Id="R5b7e8e7e65214357" /><Relationship Type="http://schemas.openxmlformats.org/officeDocument/2006/relationships/sharedStrings" Target="/xl/sharedStrings.xml" Id="Rade366bcda144f06" /><Relationship Type="http://schemas.openxmlformats.org/officeDocument/2006/relationships/worksheet" Target="/xl/worksheets/sheet1.xml" Id="R27b74498f4e744c6" /><Relationship Type="http://schemas.openxmlformats.org/officeDocument/2006/relationships/worksheet" Target="/xl/worksheets/sheet2.xml" Id="R933b84111f2e4a50" /><Relationship Type="http://schemas.openxmlformats.org/officeDocument/2006/relationships/worksheet" Target="/xl/worksheets/sheet3.xml" Id="Rfa00b42c2c42400a" /><Relationship Type="http://schemas.openxmlformats.org/officeDocument/2006/relationships/worksheet" Target="/xl/worksheets/sheet4.xml" Id="R135589e70e7e4082" /><Relationship Type="http://schemas.openxmlformats.org/officeDocument/2006/relationships/worksheet" Target="/xl/worksheets/sheet5.xml" Id="Rde98c2a003534250" /></Relationships>
</file>

<file path=xl/tables/table1.xml><?xml version="1.0" encoding="utf-8"?>
<x:table xmlns:x="http://schemas.openxmlformats.org/spreadsheetml/2006/main" id="1" name="RoadmapTable" displayName="RoadmapTable" ref="A7:H13" headerRowCount="1" totalsRowCount="0" totalsRowShown="0">
  <x:autoFilter ref="A7:H13"/>
  <x:tableColumns count="8">
    <x:tableColumn id="1" name="Milestone"/>
    <x:tableColumn id="2" name="Outcome"/>
    <x:tableColumn id="3" name="Stories"/>
    <x:tableColumn id="4" name="Done"/>
    <x:tableColumn id="5" name="In progress"/>
    <x:tableColumn id="6" name="Blocked"/>
    <x:tableColumn id="7" name="Progress"/>
    <x:tableColumn id="8" name="Exit g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picsTable" displayName="EpicsTable" ref="A5:H17" headerRowCount="1" totalsRowCount="0" totalsRowShown="0">
  <x:autoFilter ref="A5:H17"/>
  <x:tableColumns count="8">
    <x:tableColumn id="1" name="Epic ID"/>
    <x:tableColumn id="2" name="Milestone"/>
    <x:tableColumn id="3" name="Epic"/>
    <x:tableColumn id="4" name="Owner"/>
    <x:tableColumn id="5" name="Objective"/>
    <x:tableColumn id="6" name="Stories"/>
    <x:tableColumn id="7" name="Done"/>
    <x:tableColumn id="8" name="Progre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serStoriesTable" displayName="UserStoriesTable" ref="A6:L44" headerRowCount="1" totalsRowCount="0" totalsRowShown="0">
  <x:autoFilter ref="A6:L44"/>
  <x:tableColumns count="12">
    <x:tableColumn id="1" name="Story ID"/>
    <x:tableColumn id="2" name="Milestone"/>
    <x:tableColumn id="3" name="Epic"/>
    <x:tableColumn id="4" name="Domain"/>
    <x:tableColumn id="5" name="Persona"/>
    <x:tableColumn id="6" name="User story"/>
    <x:tableColumn id="7" name="Acceptance criteria"/>
    <x:tableColumn id="8" name="Priority"/>
    <x:tableColumn id="9" name="Status"/>
    <x:tableColumn id="10" name="Dependencies"/>
    <x:tableColumn id="11" name="Release gate"/>
    <x:tableColumn id="12" name="Evidence /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easeGatesTable" displayName="ReleaseGatesTable" ref="A5:F13" headerRowCount="1" totalsRowCount="0" totalsRowShown="0">
  <x:autoFilter ref="A5:F13"/>
  <x:tableColumns count="6">
    <x:tableColumn id="1" name="Gate ID"/>
    <x:tableColumn id="2" name="Gate"/>
    <x:tableColumn id="3" name="Criterion"/>
    <x:tableColumn id="4" name="Owner"/>
    <x:tableColumn id="5" name="Milestone"/>
    <x:tableColumn id="6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ferencesTable" displayName="ReferencesTable" ref="A10:D22" headerRowCount="1" totalsRowCount="0" totalsRowShown="0">
  <x:autoFilter ref="A10:D22"/>
  <x:tableColumns count="4">
    <x:tableColumn id="1" name="Reference"/>
    <x:tableColumn id="2" name="URL"/>
    <x:tableColumn id="3" name="Use"/>
    <x:tableColumn id="4" name="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1d959a558849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8c26bc646244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a9c7c6d8d04d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b62f57d17704d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2e7370fe50d42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48" hidden="0" customWidth="1"/>
  </x:cols>
  <x:sheetData>
    <x:row r="1" ht="32" customHeight="1">
      <x:c r="A1" s="3" t="str">
        <x:v>VOICE HUB — DELIVERY ROADMAP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Sequence-based production plan • Version 1.0 • 2026-08-15 • Calendar commitments intentionally TBD</x:v>
      </x:c>
      <x:c r="B2" s="6"/>
      <x:c r="C2" s="6"/>
      <x:c r="D2" s="6"/>
      <x:c r="E2" s="6"/>
      <x:c r="F2" s="6"/>
      <x:c r="G2" s="6"/>
      <x:c r="H2" s="6"/>
    </x:row>
    <x:row r="4" ht="25" customHeight="1">
      <x:c r="A4" s="14" t="str">
        <x:v>TOTAL STORIES</x:v>
      </x:c>
      <x:c r="B4" s="15"/>
      <x:c r="C4" s="16" t="n">
        <x:f>COUNTA('User Stories'!$A$7:$A$44)</x:f>
        <x:v>38</x:v>
      </x:c>
      <x:c r="D4" s="16"/>
      <x:c r="E4" s="15" t="str">
        <x:v>P0 REMAINING</x:v>
      </x:c>
      <x:c r="F4" s="15"/>
      <x:c r="G4" s="16" t="n">
        <x:f>COUNTIFS('User Stories'!$H$7:$H$44,"P0",'User Stories'!$I$7:$I$44,"&lt;&gt;Done")</x:f>
        <x:v>24</x:v>
      </x:c>
      <x:c r="H4" s="17"/>
    </x:row>
    <x:row r="5" ht="25" customHeight="1">
      <x:c r="A5" s="18" t="str">
        <x:v>DONE</x:v>
      </x:c>
      <x:c r="B5" s="19"/>
      <x:c r="C5" s="20" t="n">
        <x:f>COUNTIF('User Stories'!$I$7:$I$44,"Done")</x:f>
        <x:v>12</x:v>
      </x:c>
      <x:c r="D5" s="20"/>
      <x:c r="E5" s="19" t="str">
        <x:v>BLOCKED</x:v>
      </x:c>
      <x:c r="F5" s="19"/>
      <x:c r="G5" s="20" t="n">
        <x:f>COUNTIF('User Stories'!$I$7:$I$44,"Blocked")</x:f>
        <x:v>3</x:v>
      </x:c>
      <x:c r="H5" s="21"/>
    </x:row>
    <x:row r="7" ht="30" customHeight="1">
      <x:c r="A7" s="26" t="str">
        <x:v>Milestone</x:v>
      </x:c>
      <x:c r="B7" s="26" t="str">
        <x:v>Outcome</x:v>
      </x:c>
      <x:c r="C7" s="26" t="str">
        <x:v>Stories</x:v>
      </x:c>
      <x:c r="D7" s="26" t="str">
        <x:v>Done</x:v>
      </x:c>
      <x:c r="E7" s="26" t="str">
        <x:v>In progress</x:v>
      </x:c>
      <x:c r="F7" s="26" t="str">
        <x:v>Blocked</x:v>
      </x:c>
      <x:c r="G7" s="26" t="str">
        <x:v>Progress</x:v>
      </x:c>
      <x:c r="H7" s="26" t="str">
        <x:v>Exit gate</x:v>
      </x:c>
    </x:row>
    <x:row r="8" ht="62" customHeight="1">
      <x:c r="A8" s="34" t="str">
        <x:v>M0 — Product Baseline &amp; Architecture</x:v>
      </x:c>
      <x:c r="B8" s="34" t="str">
        <x:v>A separate Voice Hub product with explicit domains, provider contracts, and a production delivery baseline.</x:v>
      </x:c>
      <x:c r="C8" s="37" t="n">
        <x:f>COUNTIF('User Stories'!$B$7:$B$44,"M0")</x:f>
        <x:v>6</x:v>
      </x:c>
      <x:c r="D8" s="37" t="n">
        <x:f>COUNTIFS('User Stories'!$B$7:$B$44,"M0",'User Stories'!$I$7:$I$44,"Done")</x:f>
        <x:v>5</x:v>
      </x:c>
      <x:c r="E8" s="37" t="n">
        <x:f>COUNTIFS('User Stories'!$B$7:$B$44,"M0",'User Stories'!$I$7:$I$44,"In Progress")</x:f>
        <x:v>1</x:v>
      </x:c>
      <x:c r="F8" s="37" t="n">
        <x:f>COUNTIFS('User Stories'!$B$7:$B$44,"M0",'User Stories'!$I$7:$I$44,"Blocked")</x:f>
        <x:v>0</x:v>
      </x:c>
      <x:c r="G8" s="40" t="n">
        <x:f>IFERROR(D8/C8,0)</x:f>
        <x:v>0.8333333333333334</x:v>
      </x:c>
      <x:c r="H8" s="34" t="str">
        <x:v>Repository boundaries, product policy, API/domain contracts, and test baseline are approved.</x:v>
      </x:c>
    </x:row>
    <x:row r="9" ht="62" customHeight="1">
      <x:c r="A9" s="35" t="str">
        <x:v>M1 — Core Voice Note Creation</x:v>
      </x:c>
      <x:c r="B9" s="35" t="str">
        <x:v>A signed-in user can create, preview, save, translate, and share a Nigerian-language voice note.</x:v>
      </x:c>
      <x:c r="C9" s="38" t="n">
        <x:f>COUNTIF('User Stories'!$B$7:$B$44,"M1")</x:f>
        <x:v>9</x:v>
      </x:c>
      <x:c r="D9" s="38" t="n">
        <x:f>COUNTIFS('User Stories'!$B$7:$B$44,"M1",'User Stories'!$I$7:$I$44,"Done")</x:f>
        <x:v>1</x:v>
      </x:c>
      <x:c r="E9" s="38" t="n">
        <x:f>COUNTIFS('User Stories'!$B$7:$B$44,"M1",'User Stories'!$I$7:$I$44,"In Progress")</x:f>
        <x:v>3</x:v>
      </x:c>
      <x:c r="F9" s="38" t="n">
        <x:f>COUNTIFS('User Stories'!$B$7:$B$44,"M1",'User Stories'!$I$7:$I$44,"Blocked")</x:f>
        <x:v>0</x:v>
      </x:c>
      <x:c r="G9" s="41" t="n">
        <x:f>IFERROR(D9/C9,0)</x:f>
        <x:v>0.1111111111111111</x:v>
      </x:c>
      <x:c r="H9" s="35" t="str">
        <x:v>Five-language create flow passes device/provider, audio, offline, failure, and WhatsApp share acceptance tests.</x:v>
      </x:c>
    </x:row>
    <x:row r="10" ht="62" customHeight="1">
      <x:c r="A10" s="35" t="str">
        <x:v>M2 — Editorial Voice Channels</x:v>
      </x:c>
      <x:c r="B10" s="35" t="str">
        <x:v>People can follow reviewed gist, relationship, and jobs channels and opt in separately to WhatsApp delivery.</x:v>
      </x:c>
      <x:c r="C10" s="38" t="n">
        <x:f>COUNTIF('User Stories'!$B$7:$B$44,"M2")</x:f>
        <x:v>6</x:v>
      </x:c>
      <x:c r="D10" s="38" t="n">
        <x:f>COUNTIFS('User Stories'!$B$7:$B$44,"M2",'User Stories'!$I$7:$I$44,"Done")</x:f>
        <x:v>3</x:v>
      </x:c>
      <x:c r="E10" s="38" t="n">
        <x:f>COUNTIFS('User Stories'!$B$7:$B$44,"M2",'User Stories'!$I$7:$I$44,"In Progress")</x:f>
        <x:v>1</x:v>
      </x:c>
      <x:c r="F10" s="38" t="n">
        <x:f>COUNTIFS('User Stories'!$B$7:$B$44,"M2",'User Stories'!$I$7:$I$44,"Blocked")</x:f>
        <x:v>1</x:v>
      </x:c>
      <x:c r="G10" s="41" t="n">
        <x:f>IFERROR(D10/C10,0)</x:f>
        <x:v>0.5</x:v>
      </x:c>
      <x:c r="H10" s="35" t="str">
        <x:v>Editorial provenance, subscription consent, delivery reconciliation, opt-out, and takedown operations are production-ready.</x:v>
      </x:c>
    </x:row>
    <x:row r="11" ht="62" customHeight="1">
      <x:c r="A11" s="35" t="str">
        <x:v>M3 — Private AI Companions</x:v>
      </x:c>
      <x:c r="B11" s="35" t="str">
        <x:v>Adults can use clearly disclosed fictional companions in private conversations with strong safety and data controls.</x:v>
      </x:c>
      <x:c r="C11" s="38" t="n">
        <x:f>COUNTIF('User Stories'!$B$7:$B$44,"M3")</x:f>
        <x:v>5</x:v>
      </x:c>
      <x:c r="D11" s="38" t="n">
        <x:f>COUNTIFS('User Stories'!$B$7:$B$44,"M3",'User Stories'!$I$7:$I$44,"Done")</x:f>
        <x:v>3</x:v>
      </x:c>
      <x:c r="E11" s="38" t="n">
        <x:f>COUNTIFS('User Stories'!$B$7:$B$44,"M3",'User Stories'!$I$7:$I$44,"In Progress")</x:f>
        <x:v>0</x:v>
      </x:c>
      <x:c r="F11" s="38" t="n">
        <x:f>COUNTIFS('User Stories'!$B$7:$B$44,"M3",'User Stories'!$I$7:$I$44,"Blocked")</x:f>
        <x:v>1</x:v>
      </x:c>
      <x:c r="G11" s="41" t="n">
        <x:f>IFERROR(D11/C11,0)</x:f>
        <x:v>0.6</x:v>
      </x:c>
      <x:c r="H11" s="35" t="str">
        <x:v>Age/disclosure gates, semantic safety, private authorization, block/report, export, and deletion pass adversarial testing.</x:v>
      </x:c>
    </x:row>
    <x:row r="12" ht="62" customHeight="1">
      <x:c r="A12" s="35" t="str">
        <x:v>M4 — Cloud Production &amp; Trust</x:v>
      </x:c>
      <x:c r="B12" s="35" t="str">
        <x:v>The service runs reliably and affordably on Cloudflare-compatible infrastructure with production identity and operations.</x:v>
      </x:c>
      <x:c r="C12" s="38" t="n">
        <x:f>COUNTIF('User Stories'!$B$7:$B$44,"M4")</x:f>
        <x:v>6</x:v>
      </x:c>
      <x:c r="D12" s="38" t="n">
        <x:f>COUNTIFS('User Stories'!$B$7:$B$44,"M4",'User Stories'!$I$7:$I$44,"Done")</x:f>
        <x:v>0</x:v>
      </x:c>
      <x:c r="E12" s="38" t="n">
        <x:f>COUNTIFS('User Stories'!$B$7:$B$44,"M4",'User Stories'!$I$7:$I$44,"In Progress")</x:f>
        <x:v>1</x:v>
      </x:c>
      <x:c r="F12" s="38" t="n">
        <x:f>COUNTIFS('User Stories'!$B$7:$B$44,"M4",'User Stories'!$I$7:$I$44,"Blocked")</x:f>
        <x:v>1</x:v>
      </x:c>
      <x:c r="G12" s="41" t="n">
        <x:f>IFERROR(D12/C12,0)</x:f>
        <x:v>0</x:v>
      </x:c>
      <x:c r="H12" s="35" t="str">
        <x:v>Production auth, storage, queues, observability, security review, backups, and cost alarms are verified under load.</x:v>
      </x:c>
    </x:row>
    <x:row r="13" ht="62" customHeight="1">
      <x:c r="A13" s="36" t="str">
        <x:v>M5 — Beta, Launch &amp; Growth</x:v>
      </x:c>
      <x:c r="B13" s="36" t="str">
        <x:v>A measurable closed beta graduates through documented quality, store, support, and product-health gates.</x:v>
      </x:c>
      <x:c r="C13" s="39" t="n">
        <x:f>COUNTIF('User Stories'!$B$7:$B$44,"M5")</x:f>
        <x:v>6</x:v>
      </x:c>
      <x:c r="D13" s="39" t="n">
        <x:f>COUNTIFS('User Stories'!$B$7:$B$44,"M5",'User Stories'!$I$7:$I$44,"Done")</x:f>
        <x:v>0</x:v>
      </x:c>
      <x:c r="E13" s="39" t="n">
        <x:f>COUNTIFS('User Stories'!$B$7:$B$44,"M5",'User Stories'!$I$7:$I$44,"In Progress")</x:f>
        <x:v>0</x:v>
      </x:c>
      <x:c r="F13" s="39" t="n">
        <x:f>COUNTIFS('User Stories'!$B$7:$B$44,"M5",'User Stories'!$I$7:$I$44,"Blocked")</x:f>
        <x:v>0</x:v>
      </x:c>
      <x:c r="G13" s="42" t="n">
        <x:f>IFERROR(D13/C13,0)</x:f>
        <x:v>0</x:v>
      </x:c>
      <x:c r="H13" s="36" t="str">
        <x:v>Language quality, crash-free use, latency, safety, consent, support, and Play release thresholds are met.</x:v>
      </x:c>
    </x:row>
    <x:row r="15" ht="34" customHeight="1">
      <x:c r="A15" s="45" t="str">
        <x:v>Interpretation: progress counts Done stories only. Blocked items are external or unselected decisions, not hidden engineering estimates.</x:v>
      </x:c>
      <x:c r="B15" s="45"/>
      <x:c r="C15" s="45"/>
      <x:c r="D15" s="45"/>
      <x:c r="E15" s="45"/>
      <x:c r="F15" s="45"/>
      <x:c r="G15" s="45"/>
      <x:c r="H15" s="45"/>
    </x:row>
  </x:sheetData>
  <x:mergeCells>
    <x:mergeCell ref="A1:H1"/>
    <x:mergeCell ref="A2:H2"/>
    <x:mergeCell ref="A4:B4"/>
    <x:mergeCell ref="C4:D4"/>
    <x:mergeCell ref="E4:F4"/>
    <x:mergeCell ref="G4:H4"/>
    <x:mergeCell ref="A5:B5"/>
    <x:mergeCell ref="C5:D5"/>
    <x:mergeCell ref="E5:F5"/>
    <x:mergeCell ref="G5:H5"/>
    <x:mergeCell ref="A15:H15"/>
  </x:mergeCells>
  <x:conditionalFormatting sqref="G8:G13">
    <x:cfRule type="dataBar" priority="1">
      <x:dataBar>
        <x:cfvo type="num" val="0"/>
        <x:cfvo type="num" val="1"/>
        <x:color rgb="FF007A73"/>
      </x:dataBar>
      <x:extLst>
        <x:ext xmlns:x14="http://schemas.microsoft.com/office/spreadsheetml/2009/9/main" uri="{B025F937-C7B1-47D3-B67F-A62EFF666E3E}">
          <x14:id>{D197E2C9-9EC6-6787-43DE-CF71D21F1FC9}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31d959a5588498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197E2C9-9EC6-6787-43DE-CF71D21F1FC9}">
            <x14:dataBar gradient="1">
              <x14:cfvo type="num">
                <xm:f>0</xm:f>
              </x14:cfvo>
              <x14:cfvo type="num">
                <xm:f>1</xm:f>
              </x14:cfvo>
              <x14:fillColor rgb="FF007A73"/>
            </x14:dataBar>
          </x14:cfRule>
          <xm:sqref>G8:G13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34" hidden="0" customWidth="1"/>
    <x:col min="4" max="4" width="24" hidden="0" customWidth="1"/>
    <x:col min="5" max="5" width="60" hidden="0" customWidth="1"/>
    <x:col min="6" max="6" width="11" hidden="0" customWidth="1"/>
    <x:col min="7" max="7" width="11" hidden="0" customWidth="1"/>
    <x:col min="8" max="8" width="13" hidden="0" customWidth="1"/>
  </x:cols>
  <x:sheetData>
    <x:row r="1" ht="32" customHeight="1">
      <x:c r="A1" s="3" t="str">
        <x:v>VOICE HUB — EPICS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Objectives and formula-driven story completion by epic</x:v>
      </x:c>
      <x:c r="B2" s="6"/>
      <x:c r="C2" s="6"/>
      <x:c r="D2" s="6"/>
      <x:c r="E2" s="6"/>
      <x:c r="F2" s="6"/>
      <x:c r="G2" s="6"/>
      <x:c r="H2" s="6"/>
    </x:row>
    <x:row r="5" ht="30" customHeight="1">
      <x:c r="A5" s="26" t="str">
        <x:v>Epic ID</x:v>
      </x:c>
      <x:c r="B5" s="26" t="str">
        <x:v>Milestone</x:v>
      </x:c>
      <x:c r="C5" s="26" t="str">
        <x:v>Epic</x:v>
      </x:c>
      <x:c r="D5" s="26" t="str">
        <x:v>Owner</x:v>
      </x:c>
      <x:c r="E5" s="26" t="str">
        <x:v>Objective</x:v>
      </x:c>
      <x:c r="F5" s="26" t="str">
        <x:v>Stories</x:v>
      </x:c>
      <x:c r="G5" s="26" t="str">
        <x:v>Done</x:v>
      </x:c>
      <x:c r="H5" s="26" t="str">
        <x:v>Progress</x:v>
      </x:c>
    </x:row>
    <x:row r="6" ht="48" customHeight="1">
      <x:c r="A6" s="34" t="str">
        <x:v>E01</x:v>
      </x:c>
      <x:c r="B6" s="34" t="str">
        <x:v>M0</x:v>
      </x:c>
      <x:c r="C6" s="34" t="str">
        <x:v>Product boundaries and catalog</x:v>
      </x:c>
      <x:c r="D6" s="34" t="str">
        <x:v>Product</x:v>
      </x:c>
      <x:c r="E6" s="34" t="str">
        <x:v>Define launch domains, language catalog, voice provenance, and excluded uses.</x:v>
      </x:c>
      <x:c r="F6" s="37" t="n">
        <x:f>COUNTIF('User Stories'!$C$7:$C$44,"E01")</x:f>
        <x:v>3</x:v>
      </x:c>
      <x:c r="G6" s="37" t="n">
        <x:f>COUNTIFS('User Stories'!$C$7:$C$44,"E01",'User Stories'!$I$7:$I$44,"Done")</x:f>
        <x:v>2</x:v>
      </x:c>
      <x:c r="H6" s="40" t="n">
        <x:f>IFERROR(G6/F6,0)</x:f>
        <x:v>0.6666666666666666</x:v>
      </x:c>
    </x:row>
    <x:row r="7" ht="48" customHeight="1">
      <x:c r="A7" s="35" t="str">
        <x:v>E02</x:v>
      </x:c>
      <x:c r="B7" s="35" t="str">
        <x:v>M0</x:v>
      </x:c>
      <x:c r="C7" s="35" t="str">
        <x:v>Core service contracts</x:v>
      </x:c>
      <x:c r="D7" s="35" t="str">
        <x:v>Backend</x:v>
      </x:c>
      <x:c r="E7" s="35" t="str">
        <x:v>Establish provider, media, publishing, delivery, and companion boundaries with deterministic tests.</x:v>
      </x:c>
      <x:c r="F7" s="38" t="n">
        <x:f>COUNTIF('User Stories'!$C$7:$C$44,"E02")</x:f>
        <x:v>3</x:v>
      </x:c>
      <x:c r="G7" s="38" t="n">
        <x:f>COUNTIFS('User Stories'!$C$7:$C$44,"E02",'User Stories'!$I$7:$I$44,"Done")</x:f>
        <x:v>3</x:v>
      </x:c>
      <x:c r="H7" s="41" t="n">
        <x:f>IFERROR(G7/F7,0)</x:f>
        <x:v>1</x:v>
      </x:c>
    </x:row>
    <x:row r="8" ht="48" customHeight="1">
      <x:c r="A8" s="35" t="str">
        <x:v>E03</x:v>
      </x:c>
      <x:c r="B8" s="35" t="str">
        <x:v>M1</x:v>
      </x:c>
      <x:c r="C8" s="35" t="str">
        <x:v>Voice authoring and language</x:v>
      </x:c>
      <x:c r="D8" s="35" t="str">
        <x:v>Android</x:v>
      </x:c>
      <x:c r="E8" s="35" t="str">
        <x:v>Deliver a five-language create flow with explicit device and Voice Hub voice modes.</x:v>
      </x:c>
      <x:c r="F8" s="38" t="n">
        <x:f>COUNTIF('User Stories'!$C$7:$C$44,"E03")</x:f>
        <x:v>4</x:v>
      </x:c>
      <x:c r="G8" s="38" t="n">
        <x:f>COUNTIFS('User Stories'!$C$7:$C$44,"E03",'User Stories'!$I$7:$I$44,"Done")</x:f>
        <x:v>0</x:v>
      </x:c>
      <x:c r="H8" s="41" t="n">
        <x:f>IFERROR(G8/F8,0)</x:f>
        <x:v>0</x:v>
      </x:c>
    </x:row>
    <x:row r="9" ht="48" customHeight="1">
      <x:c r="A9" s="35" t="str">
        <x:v>E04</x:v>
      </x:c>
      <x:c r="B9" s="35" t="str">
        <x:v>M1</x:v>
      </x:c>
      <x:c r="C9" s="35" t="str">
        <x:v>Audio lifecycle and sharing</x:v>
      </x:c>
      <x:c r="D9" s="35" t="str">
        <x:v>Android + Backend</x:v>
      </x:c>
      <x:c r="E9" s="35" t="str">
        <x:v>Produce valid Ogg/Opus, preview it, save it, and share it safely.</x:v>
      </x:c>
      <x:c r="F9" s="38" t="n">
        <x:f>COUNTIF('User Stories'!$C$7:$C$44,"E04")</x:f>
        <x:v>5</x:v>
      </x:c>
      <x:c r="G9" s="38" t="n">
        <x:f>COUNTIFS('User Stories'!$C$7:$C$44,"E04",'User Stories'!$I$7:$I$44,"Done")</x:f>
        <x:v>1</x:v>
      </x:c>
      <x:c r="H9" s="41" t="n">
        <x:f>IFERROR(G9/F9,0)</x:f>
        <x:v>0.2</x:v>
      </x:c>
    </x:row>
    <x:row r="10" ht="48" customHeight="1">
      <x:c r="A10" s="35" t="str">
        <x:v>E05</x:v>
      </x:c>
      <x:c r="B10" s="35" t="str">
        <x:v>M2</x:v>
      </x:c>
      <x:c r="C10" s="35" t="str">
        <x:v>Editorial publishing and feed</x:v>
      </x:c>
      <x:c r="D10" s="35" t="str">
        <x:v>Editorial Ops + Backend</x:v>
      </x:c>
      <x:c r="E10" s="35" t="str">
        <x:v>Publish reviewed, attributable channel episodes and deliver a useful in-app feed.</x:v>
      </x:c>
      <x:c r="F10" s="38" t="n">
        <x:f>COUNTIF('User Stories'!$C$7:$C$44,"E05")</x:f>
        <x:v>3</x:v>
      </x:c>
      <x:c r="G10" s="38" t="n">
        <x:f>COUNTIFS('User Stories'!$C$7:$C$44,"E05",'User Stories'!$I$7:$I$44,"Done")</x:f>
        <x:v>1</x:v>
      </x:c>
      <x:c r="H10" s="41" t="n">
        <x:f>IFERROR(G10/F10,0)</x:f>
        <x:v>0.3333333333333333</x:v>
      </x:c>
    </x:row>
    <x:row r="11" ht="48" customHeight="1">
      <x:c r="A11" s="35" t="str">
        <x:v>E06</x:v>
      </x:c>
      <x:c r="B11" s="35" t="str">
        <x:v>M2</x:v>
      </x:c>
      <x:c r="C11" s="35" t="str">
        <x:v>WhatsApp subscriptions and delivery</x:v>
      </x:c>
      <x:c r="D11" s="35" t="str">
        <x:v>Backend + Operations</x:v>
      </x:c>
      <x:c r="E11" s="35" t="str">
        <x:v>Collect explicit consent and deliver/reconcile compliant WhatsApp messages.</x:v>
      </x:c>
      <x:c r="F11" s="38" t="n">
        <x:f>COUNTIF('User Stories'!$C$7:$C$44,"E06")</x:f>
        <x:v>3</x:v>
      </x:c>
      <x:c r="G11" s="38" t="n">
        <x:f>COUNTIFS('User Stories'!$C$7:$C$44,"E06",'User Stories'!$I$7:$I$44,"Done")</x:f>
        <x:v>2</x:v>
      </x:c>
      <x:c r="H11" s="41" t="n">
        <x:f>IFERROR(G11/F11,0)</x:f>
        <x:v>0.6666666666666666</x:v>
      </x:c>
    </x:row>
    <x:row r="12" ht="48" customHeight="1">
      <x:c r="A12" s="35" t="str">
        <x:v>E07</x:v>
      </x:c>
      <x:c r="B12" s="35" t="str">
        <x:v>M3</x:v>
      </x:c>
      <x:c r="C12" s="35" t="str">
        <x:v>Companion conversations</x:v>
      </x:c>
      <x:c r="D12" s="35" t="str">
        <x:v>Android + Backend</x:v>
      </x:c>
      <x:c r="E12" s="35" t="str">
        <x:v>Provide private fictional companion chat and voice responses without mixing it with broadcast channels.</x:v>
      </x:c>
      <x:c r="F12" s="38" t="n">
        <x:f>COUNTIF('User Stories'!$C$7:$C$44,"E07")</x:f>
        <x:v>2</x:v>
      </x:c>
      <x:c r="G12" s="38" t="n">
        <x:f>COUNTIFS('User Stories'!$C$7:$C$44,"E07",'User Stories'!$I$7:$I$44,"Done")</x:f>
        <x:v>1</x:v>
      </x:c>
      <x:c r="H12" s="41" t="n">
        <x:f>IFERROR(G12/F12,0)</x:f>
        <x:v>0.5</x:v>
      </x:c>
    </x:row>
    <x:row r="13" ht="48" customHeight="1">
      <x:c r="A13" s="35" t="str">
        <x:v>E08</x:v>
      </x:c>
      <x:c r="B13" s="35" t="str">
        <x:v>M3</x:v>
      </x:c>
      <x:c r="C13" s="35" t="str">
        <x:v>Companion trust and privacy</x:v>
      </x:c>
      <x:c r="D13" s="35" t="str">
        <x:v>Trust &amp; Safety</x:v>
      </x:c>
      <x:c r="E13" s="35" t="str">
        <x:v>Enforce disclosure, adult gates, anti-dependency policy, user control, and incident response.</x:v>
      </x:c>
      <x:c r="F13" s="38" t="n">
        <x:f>COUNTIF('User Stories'!$C$7:$C$44,"E08")</x:f>
        <x:v>3</x:v>
      </x:c>
      <x:c r="G13" s="38" t="n">
        <x:f>COUNTIFS('User Stories'!$C$7:$C$44,"E08",'User Stories'!$I$7:$I$44,"Done")</x:f>
        <x:v>2</x:v>
      </x:c>
      <x:c r="H13" s="41" t="n">
        <x:f>IFERROR(G13/F13,0)</x:f>
        <x:v>0.6666666666666666</x:v>
      </x:c>
    </x:row>
    <x:row r="14" ht="48" customHeight="1">
      <x:c r="A14" s="35" t="str">
        <x:v>E09</x:v>
      </x:c>
      <x:c r="B14" s="35" t="str">
        <x:v>M4</x:v>
      </x:c>
      <x:c r="C14" s="35" t="str">
        <x:v>Identity, authorization, and data protection</x:v>
      </x:c>
      <x:c r="D14" s="35" t="str">
        <x:v>Platform</x:v>
      </x:c>
      <x:c r="E14" s="35" t="str">
        <x:v>Authenticate users and protect private, publisher, and operational data end to end.</x:v>
      </x:c>
      <x:c r="F14" s="38" t="n">
        <x:f>COUNTIF('User Stories'!$C$7:$C$44,"E09")</x:f>
        <x:v>3</x:v>
      </x:c>
      <x:c r="G14" s="38" t="n">
        <x:f>COUNTIFS('User Stories'!$C$7:$C$44,"E09",'User Stories'!$I$7:$I$44,"Done")</x:f>
        <x:v>0</x:v>
      </x:c>
      <x:c r="H14" s="41" t="n">
        <x:f>IFERROR(G14/F14,0)</x:f>
        <x:v>0</x:v>
      </x:c>
    </x:row>
    <x:row r="15" ht="48" customHeight="1">
      <x:c r="A15" s="35" t="str">
        <x:v>E10</x:v>
      </x:c>
      <x:c r="B15" s="35" t="str">
        <x:v>M4</x:v>
      </x:c>
      <x:c r="C15" s="35" t="str">
        <x:v>Cloud operations and cost</x:v>
      </x:c>
      <x:c r="D15" s="35" t="str">
        <x:v>Platform</x:v>
      </x:c>
      <x:c r="E15" s="35" t="str">
        <x:v>Operate workers, data, media, observability, and cost controls on a production cloud path.</x:v>
      </x:c>
      <x:c r="F15" s="38" t="n">
        <x:f>COUNTIF('User Stories'!$C$7:$C$44,"E10")</x:f>
        <x:v>3</x:v>
      </x:c>
      <x:c r="G15" s="38" t="n">
        <x:f>COUNTIFS('User Stories'!$C$7:$C$44,"E10",'User Stories'!$I$7:$I$44,"Done")</x:f>
        <x:v>0</x:v>
      </x:c>
      <x:c r="H15" s="41" t="n">
        <x:f>IFERROR(G15/F15,0)</x:f>
        <x:v>0</x:v>
      </x:c>
    </x:row>
    <x:row r="16" ht="48" customHeight="1">
      <x:c r="A16" s="35" t="str">
        <x:v>E11</x:v>
      </x:c>
      <x:c r="B16" s="35" t="str">
        <x:v>M5</x:v>
      </x:c>
      <x:c r="C16" s="35" t="str">
        <x:v>Quality and release readiness</x:v>
      </x:c>
      <x:c r="D16" s="35" t="str">
        <x:v>QA + Product</x:v>
      </x:c>
      <x:c r="E16" s="35" t="str">
        <x:v>Prove language, reliability, safety, and Android release quality before expansion.</x:v>
      </x:c>
      <x:c r="F16" s="38" t="n">
        <x:f>COUNTIF('User Stories'!$C$7:$C$44,"E11")</x:f>
        <x:v>3</x:v>
      </x:c>
      <x:c r="G16" s="38" t="n">
        <x:f>COUNTIFS('User Stories'!$C$7:$C$44,"E11",'User Stories'!$I$7:$I$44,"Done")</x:f>
        <x:v>0</x:v>
      </x:c>
      <x:c r="H16" s="41" t="n">
        <x:f>IFERROR(G16/F16,0)</x:f>
        <x:v>0</x:v>
      </x:c>
    </x:row>
    <x:row r="17" ht="48" customHeight="1">
      <x:c r="A17" s="36" t="str">
        <x:v>E12</x:v>
      </x:c>
      <x:c r="B17" s="36" t="str">
        <x:v>M5</x:v>
      </x:c>
      <x:c r="C17" s="36" t="str">
        <x:v>Measurement and controlled growth</x:v>
      </x:c>
      <x:c r="D17" s="36" t="str">
        <x:v>Product + Data</x:v>
      </x:c>
      <x:c r="E17" s="36" t="str">
        <x:v>Measure activation and retention while preserving privacy and controlling rollout.</x:v>
      </x:c>
      <x:c r="F17" s="39" t="n">
        <x:f>COUNTIF('User Stories'!$C$7:$C$44,"E12")</x:f>
        <x:v>3</x:v>
      </x:c>
      <x:c r="G17" s="39" t="n">
        <x:f>COUNTIFS('User Stories'!$C$7:$C$44,"E12",'User Stories'!$I$7:$I$44,"Done")</x:f>
        <x:v>0</x:v>
      </x:c>
      <x:c r="H17" s="42" t="n">
        <x:f>IFERROR(G17/F17,0)</x:f>
        <x:v>0</x:v>
      </x:c>
    </x:row>
  </x:sheetData>
  <x:mergeCells>
    <x:mergeCell ref="A1:H1"/>
    <x:mergeCell ref="A2:H2"/>
  </x:mergeCells>
  <x:conditionalFormatting sqref="H6:H17">
    <x:cfRule type="dataBar" priority="1">
      <x:dataBar>
        <x:cfvo type="num" val="0"/>
        <x:cfvo type="num" val="1"/>
        <x:color rgb="FF007A73"/>
      </x:dataBar>
      <x:extLst>
        <x:ext xmlns:x14="http://schemas.microsoft.com/office/spreadsheetml/2009/9/main" uri="{B025F937-C7B1-47D3-B67F-A62EFF666E3E}">
          <x14:id>{BC4EBF51-3687-2B66-C7FA-3AA9A8C216A2}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78c26bc646244e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C4EBF51-3687-2B66-C7FA-3AA9A8C216A2}">
            <x14:dataBar gradient="1">
              <x14:cfvo type="num">
                <xm:f>0</xm:f>
              </x14:cfvo>
              <x14:cfvo type="num">
                <xm:f>1</xm:f>
              </x14:cfvo>
              <x14:fillColor rgb="FF007A73"/>
            </x14:dataBar>
          </x14:cfRule>
          <xm:sqref>H6:H17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9" hidden="0" customWidth="1"/>
    <x:col min="4" max="4" width="22" hidden="0" customWidth="1"/>
    <x:col min="5" max="5" width="22" hidden="0" customWidth="1"/>
    <x:col min="6" max="6" width="56" hidden="0" customWidth="1"/>
    <x:col min="7" max="7" width="70" hidden="0" customWidth="1"/>
    <x:col min="8" max="8" width="10" hidden="0" customWidth="1"/>
    <x:col min="9" max="9" width="14" hidden="0" customWidth="1"/>
    <x:col min="10" max="10" width="34" hidden="0" customWidth="1"/>
    <x:col min="11" max="11" width="32" hidden="0" customWidth="1"/>
    <x:col min="12" max="12" width="46" hidden="0" customWidth="1"/>
  </x:cols>
  <x:sheetData>
    <x:row r="1" ht="32" customHeight="1">
      <x:c r="A1" s="3" t="str">
        <x:v>VOICE HUB — USER STORIES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6" t="str">
        <x:v>Editable delivery backlog • Status, priority, dependencies, acceptance criteria, release gates, and evidence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48" t="str">
        <x:v>Definition of Done: acceptance criteria pass; required tests and operational evidence are linked; privacy/safety controls are verified; release gate has no unresolved blocker.</x:v>
      </x:c>
      <x:c r="B4" s="48"/>
      <x:c r="C4" s="48"/>
      <x:c r="D4" s="48"/>
      <x:c r="E4" s="48"/>
      <x:c r="F4" s="48"/>
      <x:c r="G4" s="48"/>
      <x:c r="H4" s="48"/>
      <x:c r="I4" s="48"/>
      <x:c r="J4" s="48"/>
      <x:c r="K4" s="48"/>
      <x:c r="L4" s="48"/>
    </x:row>
    <x:row r="6" ht="34" customHeight="1">
      <x:c r="A6" s="26" t="str">
        <x:v>Story ID</x:v>
      </x:c>
      <x:c r="B6" s="26" t="str">
        <x:v>Milestone</x:v>
      </x:c>
      <x:c r="C6" s="26" t="str">
        <x:v>Epic</x:v>
      </x:c>
      <x:c r="D6" s="26" t="str">
        <x:v>Domain</x:v>
      </x:c>
      <x:c r="E6" s="26" t="str">
        <x:v>Persona</x:v>
      </x:c>
      <x:c r="F6" s="26" t="str">
        <x:v>User story</x:v>
      </x:c>
      <x:c r="G6" s="26" t="str">
        <x:v>Acceptance criteria</x:v>
      </x:c>
      <x:c r="H6" s="26" t="str">
        <x:v>Priority</x:v>
      </x:c>
      <x:c r="I6" s="26" t="str">
        <x:v>Status</x:v>
      </x:c>
      <x:c r="J6" s="26" t="str">
        <x:v>Dependencies</x:v>
      </x:c>
      <x:c r="K6" s="26" t="str">
        <x:v>Release gate</x:v>
      </x:c>
      <x:c r="L6" s="26" t="str">
        <x:v>Evidence / notes</x:v>
      </x:c>
    </x:row>
    <x:row r="7" ht="76" customHeight="1">
      <x:c r="A7" s="37" t="str">
        <x:v>VH-001</x:v>
      </x:c>
      <x:c r="B7" s="37" t="str">
        <x:v>M0</x:v>
      </x:c>
      <x:c r="C7" s="37" t="str">
        <x:v>E01</x:v>
      </x:c>
      <x:c r="D7" s="34" t="str">
        <x:v>Product</x:v>
      </x:c>
      <x:c r="E7" s="34" t="str">
        <x:v>Product owner</x:v>
      </x:c>
      <x:c r="F7" s="34" t="str">
        <x:v>As the product owner, I want Create, Channels, and Companions defined as separate domains so that their privacy and delivery rules cannot be confused.</x:v>
      </x:c>
      <x:c r="G7" s="34" t="str">
        <x:v>The PRD and architecture name all three domains; companion conversations are never represented as subscriptions; channel fan-out never reads companion threads.</x:v>
      </x:c>
      <x:c r="H7" s="37" t="str">
        <x:v>P0</x:v>
      </x:c>
      <x:c r="I7" s="37" t="str">
        <x:v>Done</x:v>
      </x:c>
      <x:c r="J7" s="34" t="str">
        <x:v>None</x:v>
      </x:c>
      <x:c r="K7" s="34" t="str">
        <x:v>Architecture approval</x:v>
      </x:c>
      <x:c r="L7" s="34" t="str">
        <x:v>Documented in current production architecture.</x:v>
      </x:c>
    </x:row>
    <x:row r="8" ht="76" customHeight="1">
      <x:c r="A8" s="38" t="str">
        <x:v>VH-002</x:v>
      </x:c>
      <x:c r="B8" s="38" t="str">
        <x:v>M0</x:v>
      </x:c>
      <x:c r="C8" s="38" t="str">
        <x:v>E01</x:v>
      </x:c>
      <x:c r="D8" s="35" t="str">
        <x:v>Voice Catalog</x:v>
      </x:c>
      <x:c r="E8" s="35" t="str">
        <x:v>Listener</x:v>
      </x:c>
      <x:c r="F8" s="35" t="str">
        <x:v>As a listener, I want only original, system, or contractually approved voices so that the product does not imply celebrity endorsement.</x:v>
      </x:c>
      <x:c r="G8" s="35" t="str">
        <x:v>No UI or API copy says licensed celebrity/public-figure voice; launch catalog records provider, language, consent/provenance class, and active state; celebrity cloning is absent.</x:v>
      </x:c>
      <x:c r="H8" s="38" t="str">
        <x:v>P0</x:v>
      </x:c>
      <x:c r="I8" s="38" t="str">
        <x:v>Done</x:v>
      </x:c>
      <x:c r="J8" s="35" t="str">
        <x:v>None</x:v>
      </x:c>
      <x:c r="K8" s="35" t="str">
        <x:v>Voice provenance review</x:v>
      </x:c>
      <x:c r="L8" s="35" t="str">
        <x:v>Visible licensed/public-figure surface removed; provider catalog is original voices only.</x:v>
      </x:c>
    </x:row>
    <x:row r="9" ht="76" customHeight="1">
      <x:c r="A9" s="38" t="str">
        <x:v>VH-003</x:v>
      </x:c>
      <x:c r="B9" s="38" t="str">
        <x:v>M0</x:v>
      </x:c>
      <x:c r="C9" s="38" t="str">
        <x:v>E01</x:v>
      </x:c>
      <x:c r="D9" s="35" t="str">
        <x:v>Language Catalog</x:v>
      </x:c>
      <x:c r="E9" s="35" t="str">
        <x:v>Nigerian-language user</x:v>
      </x:c>
      <x:c r="F9" s="35" t="str">
        <x:v>As a Nigerian-language user, I want English, Naija Pidgin, Yorùbá, Hausa, and Igbo shown as distinct choices so that I can select the language I intend.</x:v>
      </x:c>
      <x:c r="G9" s="35" t="str">
        <x:v>Catalog contains en-NG, pcm-NG, yo-NG, ha-NG, and ig-NG; English and Pidgin are separate; unavailable device voices are labelled unavailable rather than silently substituted.</x:v>
      </x:c>
      <x:c r="H9" s="38" t="str">
        <x:v>P0</x:v>
      </x:c>
      <x:c r="I9" s="38" t="str">
        <x:v>In Progress</x:v>
      </x:c>
      <x:c r="J9" s="35" t="str">
        <x:v>VH-010</x:v>
      </x:c>
      <x:c r="K9" s="35" t="str">
        <x:v>Language catalog review</x:v>
      </x:c>
      <x:c r="L9" s="35" t="str">
        <x:v>Four choices exist; separate English remains planned.</x:v>
      </x:c>
    </x:row>
    <x:row r="10" ht="76" customHeight="1">
      <x:c r="A10" s="38" t="str">
        <x:v>VH-004</x:v>
      </x:c>
      <x:c r="B10" s="38" t="str">
        <x:v>M0</x:v>
      </x:c>
      <x:c r="C10" s="38" t="str">
        <x:v>E02</x:v>
      </x:c>
      <x:c r="D10" s="35" t="str">
        <x:v>Backend</x:v>
      </x:c>
      <x:c r="E10" s="35" t="str">
        <x:v>Engineer</x:v>
      </x:c>
      <x:c r="F10" s="35" t="str">
        <x:v>As an engineer, I want a standalone Voice Hub backend so that Mama-AI experiments can be reused without becoming a runtime dependency.</x:v>
      </x:c>
      <x:c r="G10" s="35" t="str">
        <x:v>Voice Hub has its own service, configuration, migrations, tests, and provider adapters; no runtime import or deployment dependency points to Mama-AI.</x:v>
      </x:c>
      <x:c r="H10" s="38" t="str">
        <x:v>P0</x:v>
      </x:c>
      <x:c r="I10" s="38" t="str">
        <x:v>Done</x:v>
      </x:c>
      <x:c r="J10" s="35" t="str">
        <x:v>None</x:v>
      </x:c>
      <x:c r="K10" s="35" t="str">
        <x:v>Repository boundary review</x:v>
      </x:c>
      <x:c r="L10" s="35" t="str">
        <x:v>Standalone FastAPI/PostgreSQL backend exists in voice-hub/backend.</x:v>
      </x:c>
    </x:row>
    <x:row r="11" ht="76" customHeight="1">
      <x:c r="A11" s="38" t="str">
        <x:v>VH-005</x:v>
      </x:c>
      <x:c r="B11" s="38" t="str">
        <x:v>M0</x:v>
      </x:c>
      <x:c r="C11" s="38" t="str">
        <x:v>E02</x:v>
      </x:c>
      <x:c r="D11" s="35" t="str">
        <x:v>Voice Providers</x:v>
      </x:c>
      <x:c r="E11" s="35" t="str">
        <x:v>Platform engineer</x:v>
      </x:c>
      <x:c r="F11" s="35" t="str">
        <x:v>As a platform engineer, I want one synthesis contract across Spitch, Intron, and YarnGPT so that providers can be selected by language and capability.</x:v>
      </x:c>
      <x:c r="G11" s="35" t="str">
        <x:v>Provider request/response contract is typed; Spitch accepts direct Ogg/Opus; WAV providers enter the normalization path; invalid media is rejected with structured errors.</x:v>
      </x:c>
      <x:c r="H11" s="38" t="str">
        <x:v>P0</x:v>
      </x:c>
      <x:c r="I11" s="38" t="str">
        <x:v>Done</x:v>
      </x:c>
      <x:c r="J11" s="35" t="str">
        <x:v>Provider credentials for live verification</x:v>
      </x:c>
      <x:c r="K11" s="35" t="str">
        <x:v>Provider contract tests</x:v>
      </x:c>
      <x:c r="L11" s="35" t="str">
        <x:v>Adapters and focused provider tests exist.</x:v>
      </x:c>
    </x:row>
    <x:row r="12" ht="76" customHeight="1">
      <x:c r="A12" s="38" t="str">
        <x:v>VH-006</x:v>
      </x:c>
      <x:c r="B12" s="38" t="str">
        <x:v>M0</x:v>
      </x:c>
      <x:c r="C12" s="38" t="str">
        <x:v>E02</x:v>
      </x:c>
      <x:c r="D12" s="35" t="str">
        <x:v>Delivery</x:v>
      </x:c>
      <x:c r="E12" s="35" t="str">
        <x:v>Operations engineer</x:v>
      </x:c>
      <x:c r="F12" s="35" t="str">
        <x:v>As an operations engineer, I want durable jobs and an outbox so that synthesis and delivery can be retried without duplicates.</x:v>
      </x:c>
      <x:c r="G12" s="35" t="str">
        <x:v>Episode and synthesis job commit atomically; leases prevent double work; content-addressed media is immutable; event replay does not duplicate deliveries.</x:v>
      </x:c>
      <x:c r="H12" s="38" t="str">
        <x:v>P0</x:v>
      </x:c>
      <x:c r="I12" s="38" t="str">
        <x:v>Done</x:v>
      </x:c>
      <x:c r="J12" s="35" t="str">
        <x:v>PostgreSQL</x:v>
      </x:c>
      <x:c r="K12" s="35" t="str">
        <x:v>Idempotency and retry tests</x:v>
      </x:c>
      <x:c r="L12" s="35" t="str">
        <x:v>Worker, outbox, delivery planner, and tests exist.</x:v>
      </x:c>
    </x:row>
    <x:row r="13" ht="76" customHeight="1">
      <x:c r="A13" s="38" t="str">
        <x:v>VH-007</x:v>
      </x:c>
      <x:c r="B13" s="38" t="str">
        <x:v>M1</x:v>
      </x:c>
      <x:c r="C13" s="38" t="str">
        <x:v>E03</x:v>
      </x:c>
      <x:c r="D13" s="35" t="str">
        <x:v>Android</x:v>
      </x:c>
      <x:c r="E13" s="35" t="str">
        <x:v>Creator</x:v>
      </x:c>
      <x:c r="F13" s="35" t="str">
        <x:v>As a creator, I want to choose Device voice or Voice Hub voice so that I understand whether generation is local or cloud-based.</x:v>
      </x:c>
      <x:c r="G13" s="35" t="str">
        <x:v>The mode selector explains availability, consistency, data use, and connectivity; selection persists; the app never silently changes mode or provider.</x:v>
      </x:c>
      <x:c r="H13" s="38" t="str">
        <x:v>P0</x:v>
      </x:c>
      <x:c r="I13" s="38" t="str">
        <x:v>Planned</x:v>
      </x:c>
      <x:c r="J13" s="35" t="str">
        <x:v>VH-003, VH-015, VH-025</x:v>
      </x:c>
      <x:c r="K13" s="35" t="str">
        <x:v>Create UX acceptance test</x:v>
      </x:c>
      <x:c r="L13" s="35" t="str">
        <x:v>Current app exposes device TTS only.</x:v>
      </x:c>
    </x:row>
    <x:row r="14" ht="76" customHeight="1">
      <x:c r="A14" s="38" t="str">
        <x:v>VH-008</x:v>
      </x:c>
      <x:c r="B14" s="38" t="str">
        <x:v>M1</x:v>
      </x:c>
      <x:c r="C14" s="38" t="str">
        <x:v>E03</x:v>
      </x:c>
      <x:c r="D14" s="35" t="str">
        <x:v>Android</x:v>
      </x:c>
      <x:c r="E14" s="35" t="str">
        <x:v>Creator</x:v>
      </x:c>
      <x:c r="F14" s="35" t="str">
        <x:v>As a creator, I want the app to detect installed Android TTS support before generation so that failure is actionable.</x:v>
      </x:c>
      <x:c r="G14" s="35" t="str">
        <x:v>The app queries the selected engine/locale; missing language data shows an install/settings action; engine errors are visible; no English fallback occurs without consent.</x:v>
      </x:c>
      <x:c r="H14" s="38" t="str">
        <x:v>P0</x:v>
      </x:c>
      <x:c r="I14" s="38" t="str">
        <x:v>In Progress</x:v>
      </x:c>
      <x:c r="J14" s="35" t="str">
        <x:v>VH-003</x:v>
      </x:c>
      <x:c r="K14" s="35" t="str">
        <x:v>Device compatibility matrix</x:v>
      </x:c>
      <x:c r="L14" s="35" t="str">
        <x:v>Missing-language message exists; deterministic capability model remains planned.</x:v>
      </x:c>
    </x:row>
    <x:row r="15" ht="76" customHeight="1">
      <x:c r="A15" s="38" t="str">
        <x:v>VH-009</x:v>
      </x:c>
      <x:c r="B15" s="38" t="str">
        <x:v>M1</x:v>
      </x:c>
      <x:c r="C15" s="38" t="str">
        <x:v>E03</x:v>
      </x:c>
      <x:c r="D15" s="35" t="str">
        <x:v>Backend</x:v>
      </x:c>
      <x:c r="E15" s="35" t="str">
        <x:v>Creator</x:v>
      </x:c>
      <x:c r="F15" s="35" t="str">
        <x:v>As a creator, I want a consistent Voice Hub voice for each supported language so that the note sounds similar across devices.</x:v>
      </x:c>
      <x:c r="G15" s="35" t="str">
        <x:v>Authenticated create request selects an active language-compatible Spitch profile; response is valid Ogg/Opus; provider failure has a stable code and retry guidance; text is not logged.</x:v>
      </x:c>
      <x:c r="H15" s="38" t="str">
        <x:v>P0</x:v>
      </x:c>
      <x:c r="I15" s="38" t="str">
        <x:v>Planned</x:v>
      </x:c>
      <x:c r="J15" s="35" t="str">
        <x:v>VH-005, VH-025, production Spitch credentials</x:v>
      </x:c>
      <x:c r="K15" s="35" t="str">
        <x:v>Hosted create end-to-end test</x:v>
      </x:c>
      <x:c r="L15" s="35" t="str">
        <x:v>Spitch adapter exists but personal Create is not wired to it.</x:v>
      </x:c>
    </x:row>
    <x:row r="16" ht="76" customHeight="1">
      <x:c r="A16" s="38" t="str">
        <x:v>VH-010</x:v>
      </x:c>
      <x:c r="B16" s="38" t="str">
        <x:v>M1</x:v>
      </x:c>
      <x:c r="C16" s="38" t="str">
        <x:v>E03</x:v>
      </x:c>
      <x:c r="D16" s="35" t="str">
        <x:v>Language Services</x:v>
      </x:c>
      <x:c r="E16" s="35" t="str">
        <x:v>Creator</x:v>
      </x:c>
      <x:c r="F16" s="35" t="str">
        <x:v>As a creator, I want to translate English or another supported Nigerian language into Naija Pidgin before synthesis so that I can send a natural Pidgin note.</x:v>
      </x:c>
      <x:c r="G16" s="35" t="str">
        <x:v>Translate action previews editable Pidgin text; source language is explicit or detected with confirmation; user can restore original; translation and synthesis are separate actions; target code is pcm.</x:v>
      </x:c>
      <x:c r="H16" s="38" t="str">
        <x:v>P0</x:v>
      </x:c>
      <x:c r="I16" s="38" t="str">
        <x:v>Planned</x:v>
      </x:c>
      <x:c r="J16" s="35" t="str">
        <x:v>Spitch Translation API credentials</x:v>
      </x:c>
      <x:c r="K16" s="35" t="str">
        <x:v>Pidgin translation quality review</x:v>
      </x:c>
      <x:c r="L16" s="35" t="str">
        <x:v>Spitch supports pcm translation; no app flow exists yet.</x:v>
      </x:c>
    </x:row>
    <x:row r="17" ht="76" customHeight="1">
      <x:c r="A17" s="38" t="str">
        <x:v>VH-011</x:v>
      </x:c>
      <x:c r="B17" s="38" t="str">
        <x:v>M1</x:v>
      </x:c>
      <x:c r="C17" s="38" t="str">
        <x:v>E04</x:v>
      </x:c>
      <x:c r="D17" s="35" t="str">
        <x:v>Media</x:v>
      </x:c>
      <x:c r="E17" s="35" t="str">
        <x:v>Creator</x:v>
      </x:c>
      <x:c r="F17" s="35" t="str">
        <x:v>As a creator, I want every cloud-generated note delivered as standards-compliant Ogg/Opus so that WhatsApp and storage handling are predictable.</x:v>
      </x:c>
      <x:c r="G17" s="35" t="str">
        <x:v>MIME is audio/ogg; codec validates as Opus; duration, size, checksum, and storage key are recorded; corrupt or mislabeled bytes are rejected.</x:v>
      </x:c>
      <x:c r="H17" s="38" t="str">
        <x:v>P0</x:v>
      </x:c>
      <x:c r="I17" s="38" t="str">
        <x:v>Done</x:v>
      </x:c>
      <x:c r="J17" s="35" t="str">
        <x:v>VH-005</x:v>
      </x:c>
      <x:c r="K17" s="35" t="str">
        <x:v>Media conformance tests</x:v>
      </x:c>
      <x:c r="L17" s="35" t="str">
        <x:v>Direct Spitch Ogg/Opus validation and WAV normalization path exist.</x:v>
      </x:c>
    </x:row>
    <x:row r="18" ht="76" customHeight="1">
      <x:c r="A18" s="38" t="str">
        <x:v>VH-012</x:v>
      </x:c>
      <x:c r="B18" s="38" t="str">
        <x:v>M1</x:v>
      </x:c>
      <x:c r="C18" s="38" t="str">
        <x:v>E04</x:v>
      </x:c>
      <x:c r="D18" s="35" t="str">
        <x:v>Android Media</x:v>
      </x:c>
      <x:c r="E18" s="35" t="str">
        <x:v>Creator</x:v>
      </x:c>
      <x:c r="F18" s="35" t="str">
        <x:v>As a creator using Device voice, I want the generated audio converted to Ogg/Opus on-device so that I can save and share the same portable format.</x:v>
      </x:c>
      <x:c r="G18" s="35" t="str">
        <x:v>Android 10+ uses a verified Opus/Ogg path; Android 8-9 uses the approved bundled native codec or is explicitly unsupported; golden files pass ffprobe and playback tests; native licenses are documented.</x:v>
      </x:c>
      <x:c r="H18" s="38" t="str">
        <x:v>P0</x:v>
      </x:c>
      <x:c r="I18" s="38" t="str">
        <x:v>Planned</x:v>
      </x:c>
      <x:c r="J18" s="35" t="str">
        <x:v>Codec implementation decision</x:v>
      </x:c>
      <x:c r="K18" s="35" t="str">
        <x:v>Android 8-15 media matrix</x:v>
      </x:c>
      <x:c r="L18" s="35" t="str">
        <x:v>Current Device voice output is WAV.</x:v>
      </x:c>
    </x:row>
    <x:row r="19" ht="76" customHeight="1">
      <x:c r="A19" s="38" t="str">
        <x:v>VH-013</x:v>
      </x:c>
      <x:c r="B19" s="38" t="str">
        <x:v>M1</x:v>
      </x:c>
      <x:c r="C19" s="38" t="str">
        <x:v>E04</x:v>
      </x:c>
      <x:c r="D19" s="35" t="str">
        <x:v>Android</x:v>
      </x:c>
      <x:c r="E19" s="35" t="str">
        <x:v>Creator</x:v>
      </x:c>
      <x:c r="F19" s="35" t="str">
        <x:v>As a creator, I want to preview, pause, replay, rename, save, and delete a generated note before sharing so that I remain in control of the file.</x:v>
      </x:c>
      <x:c r="G19" s="35" t="str">
        <x:v>Preview uses the exact share file; saved file appears in user-selected storage; deletion removes app-owned copies; failures preserve the draft; accessibility labels cover playback controls.</x:v>
      </x:c>
      <x:c r="H19" s="38" t="str">
        <x:v>P0</x:v>
      </x:c>
      <x:c r="I19" s="38" t="str">
        <x:v>In Progress</x:v>
      </x:c>
      <x:c r="J19" s="35" t="str">
        <x:v>VH-011 or VH-012</x:v>
      </x:c>
      <x:c r="K19" s="35" t="str">
        <x:v>Create lifecycle instrumentation</x:v>
      </x:c>
      <x:c r="L19" s="35" t="str">
        <x:v>Preview/share exists; save/delete lifecycle is incomplete.</x:v>
      </x:c>
    </x:row>
    <x:row r="20" ht="76" customHeight="1">
      <x:c r="A20" s="38" t="str">
        <x:v>VH-014</x:v>
      </x:c>
      <x:c r="B20" s="38" t="str">
        <x:v>M1</x:v>
      </x:c>
      <x:c r="C20" s="38" t="str">
        <x:v>E04</x:v>
      </x:c>
      <x:c r="D20" s="35" t="str">
        <x:v>Sharing</x:v>
      </x:c>
      <x:c r="E20" s="35" t="str">
        <x:v>Creator</x:v>
      </x:c>
      <x:c r="F20" s="35" t="str">
        <x:v>As a creator, I want one-tap WhatsApp sharing plus a standard share sheet so that I can send the note where I choose.</x:v>
      </x:c>
      <x:c r="G20" s="35" t="str">
        <x:v>WhatsApp target is offered when installed; generic chooser always remains available; content URI is temporary and scoped; AI-audio disclosure accompanies the share; cancellation is non-error.</x:v>
      </x:c>
      <x:c r="H20" s="38" t="str">
        <x:v>P0</x:v>
      </x:c>
      <x:c r="I20" s="38" t="str">
        <x:v>In Progress</x:v>
      </x:c>
      <x:c r="J20" s="35" t="str">
        <x:v>VH-013</x:v>
      </x:c>
      <x:c r="K20" s="35" t="str">
        <x:v>Physical-device share test</x:v>
      </x:c>
      <x:c r="L20" s="35" t="str">
        <x:v>Android share intent exists; disclosure and full compatibility matrix remain open.</x:v>
      </x:c>
    </x:row>
    <x:row r="21" ht="76" customHeight="1">
      <x:c r="A21" s="38" t="str">
        <x:v>VH-015</x:v>
      </x:c>
      <x:c r="B21" s="38" t="str">
        <x:v>M1</x:v>
      </x:c>
      <x:c r="C21" s="38" t="str">
        <x:v>E04</x:v>
      </x:c>
      <x:c r="D21" s="35" t="str">
        <x:v>Backend</x:v>
      </x:c>
      <x:c r="E21" s="35" t="str">
        <x:v>Creator</x:v>
      </x:c>
      <x:c r="F21" s="35" t="str">
        <x:v>As a creator, I want cloud generation to complete asynchronously so that long provider calls do not hold an API request open.</x:v>
      </x:c>
      <x:c r="G21" s="35" t="str">
        <x:v>POST returns a job identifier; status polling or push reports queued/processing/ready/failed; retry is idempotent; completed media URL is time-limited or access-controlled.</x:v>
      </x:c>
      <x:c r="H21" s="38" t="str">
        <x:v>P0</x:v>
      </x:c>
      <x:c r="I21" s="38" t="str">
        <x:v>Planned</x:v>
      </x:c>
      <x:c r="J21" s="35" t="str">
        <x:v>VH-006, VH-025, VH-029</x:v>
      </x:c>
      <x:c r="K21" s="35" t="str">
        <x:v>Load and retry test</x:v>
      </x:c>
      <x:c r="L21" s="35" t="str">
        <x:v>Channel job path exists; personal create contract remains planned.</x:v>
      </x:c>
    </x:row>
    <x:row r="22" ht="76" customHeight="1">
      <x:c r="A22" s="38" t="str">
        <x:v>VH-016</x:v>
      </x:c>
      <x:c r="B22" s="38" t="str">
        <x:v>M2</x:v>
      </x:c>
      <x:c r="C22" s="38" t="str">
        <x:v>E05</x:v>
      </x:c>
      <x:c r="D22" s="35" t="str">
        <x:v>Editorial Ops</x:v>
      </x:c>
      <x:c r="E22" s="35" t="str">
        <x:v>Publisher</x:v>
      </x:c>
      <x:c r="F22" s="35" t="str">
        <x:v>As a publisher, I want to submit a script with source, review reference, language, and voice profile so that every episode has accountable provenance.</x:v>
      </x:c>
      <x:c r="G22" s="35" t="str">
        <x:v>Publish rejects missing source/review; authenticated publisher owns the channel; idempotency key produces one episode; episode and synthesis job commit together.</x:v>
      </x:c>
      <x:c r="H22" s="38" t="str">
        <x:v>P0</x:v>
      </x:c>
      <x:c r="I22" s="38" t="str">
        <x:v>Done</x:v>
      </x:c>
      <x:c r="J22" s="35" t="str">
        <x:v>VH-005, VH-006</x:v>
      </x:c>
      <x:c r="K22" s="35" t="str">
        <x:v>Publisher authorization test</x:v>
      </x:c>
      <x:c r="L22" s="35" t="str">
        <x:v>Publishing service and API tests exist.</x:v>
      </x:c>
    </x:row>
    <x:row r="23" ht="76" customHeight="1">
      <x:c r="A23" s="38" t="str">
        <x:v>VH-017</x:v>
      </x:c>
      <x:c r="B23" s="38" t="str">
        <x:v>M2</x:v>
      </x:c>
      <x:c r="C23" s="38" t="str">
        <x:v>E05</x:v>
      </x:c>
      <x:c r="D23" s="35" t="str">
        <x:v>Editorial Ops</x:v>
      </x:c>
      <x:c r="E23" s="35" t="str">
        <x:v>Editor</x:v>
      </x:c>
      <x:c r="F23" s="35" t="str">
        <x:v>As an editor, I want distinct policies for gist, relationships, and jobs so that risky or stale content is caught before release.</x:v>
      </x:c>
      <x:c r="G23" s="35" t="str">
        <x:v>Gist requires attributable sources and takedown route; relationship content includes advice boundaries; jobs require verified source, expiry, and scam-report path; review checklist is versioned.</x:v>
      </x:c>
      <x:c r="H23" s="38" t="str">
        <x:v>P0</x:v>
      </x:c>
      <x:c r="I23" s="38" t="str">
        <x:v>Planned</x:v>
      </x:c>
      <x:c r="J23" s="35" t="str">
        <x:v>Named editorial owner</x:v>
      </x:c>
      <x:c r="K23" s="35" t="str">
        <x:v>Editorial operating procedure</x:v>
      </x:c>
      <x:c r="L23" s="35" t="str">
        <x:v>Seed channel types exist; operational checklist is not implemented.</x:v>
      </x:c>
    </x:row>
    <x:row r="24" ht="76" customHeight="1">
      <x:c r="A24" s="38" t="str">
        <x:v>VH-018</x:v>
      </x:c>
      <x:c r="B24" s="38" t="str">
        <x:v>M2</x:v>
      </x:c>
      <x:c r="C24" s="38" t="str">
        <x:v>E05</x:v>
      </x:c>
      <x:c r="D24" s="35" t="str">
        <x:v>Android</x:v>
      </x:c>
      <x:c r="E24" s="35" t="str">
        <x:v>Listener</x:v>
      </x:c>
      <x:c r="F24" s="35" t="str">
        <x:v>As a listener, I want to browse, follow, and play the latest channel episodes so that relevant audio is easy to hear.</x:v>
      </x:c>
      <x:c r="G24" s="35" t="str">
        <x:v>Catalog groups gist/relationships/jobs; follow state survives restart; feed shows publish time, language, duration, source label, and AI-audio label; playback resumes and handles network loss.</x:v>
      </x:c>
      <x:c r="H24" s="38" t="str">
        <x:v>P0</x:v>
      </x:c>
      <x:c r="I24" s="38" t="str">
        <x:v>In Progress</x:v>
      </x:c>
      <x:c r="J24" s="35" t="str">
        <x:v>VH-016, VH-025</x:v>
      </x:c>
      <x:c r="K24" s="35" t="str">
        <x:v>Feed and playback test</x:v>
      </x:c>
      <x:c r="L24" s="35" t="str">
        <x:v>Live channel catalog and playback components exist; production auth/feed polish remains.</x:v>
      </x:c>
    </x:row>
    <x:row r="25" ht="76" customHeight="1">
      <x:c r="A25" s="38" t="str">
        <x:v>VH-019</x:v>
      </x:c>
      <x:c r="B25" s="38" t="str">
        <x:v>M2</x:v>
      </x:c>
      <x:c r="C25" s="38" t="str">
        <x:v>E06</x:v>
      </x:c>
      <x:c r="D25" s="35" t="str">
        <x:v>Consent</x:v>
      </x:c>
      <x:c r="E25" s="35" t="str">
        <x:v>Subscriber</x:v>
      </x:c>
      <x:c r="F25" s="35" t="str">
        <x:v>As a subscriber, I want WhatsApp delivery to require separate explicit consent so that following a channel does not enroll my phone number.</x:v>
      </x:c>
      <x:c r="G25" s="35" t="str">
        <x:v>Consent stores normalized recipient, version, timestamp, channel/transport scope, and revocation; app follow alone cannot create WhatsApp delivery; consent copy is retrievable for audit.</x:v>
      </x:c>
      <x:c r="H25" s="38" t="str">
        <x:v>P0</x:v>
      </x:c>
      <x:c r="I25" s="38" t="str">
        <x:v>Done</x:v>
      </x:c>
      <x:c r="J25" s="35" t="str">
        <x:v>VH-025</x:v>
      </x:c>
      <x:c r="K25" s="35" t="str">
        <x:v>Consent audit test</x:v>
      </x:c>
      <x:c r="L25" s="35" t="str">
        <x:v>Separate WhatsApp opt-in model and tests exist.</x:v>
      </x:c>
    </x:row>
    <x:row r="26" ht="76" customHeight="1">
      <x:c r="A26" s="38" t="str">
        <x:v>VH-020</x:v>
      </x:c>
      <x:c r="B26" s="38" t="str">
        <x:v>M2</x:v>
      </x:c>
      <x:c r="C26" s="38" t="str">
        <x:v>E06</x:v>
      </x:c>
      <x:c r="D26" s="35" t="str">
        <x:v>WhatsApp</x:v>
      </x:c>
      <x:c r="E26" s="35" t="str">
        <x:v>Subscriber</x:v>
      </x:c>
      <x:c r="F26" s="35" t="str">
        <x:v>As a subscriber, I want channel audio delivered within WhatsApp policy so that messages arrive without violating the service window.</x:v>
      </x:c>
      <x:c r="G26" s="35" t="str">
        <x:v>Inside the customer-service window send audio; outside it send only an approved template/deep link; Meta message ID is stored; retries do not duplicate a delivery.</x:v>
      </x:c>
      <x:c r="H26" s="38" t="str">
        <x:v>P0</x:v>
      </x:c>
      <x:c r="I26" s="38" t="str">
        <x:v>Blocked</x:v>
      </x:c>
      <x:c r="J26" s="35" t="str">
        <x:v>Verified Meta business, WABA, templates, public webhook</x:v>
      </x:c>
      <x:c r="K26" s="35" t="str">
        <x:v>Meta production approval</x:v>
      </x:c>
      <x:c r="L26" s="35" t="str">
        <x:v>Dispatcher policy exists; external production approval is missing.</x:v>
      </x:c>
    </x:row>
    <x:row r="27" ht="76" customHeight="1">
      <x:c r="A27" s="38" t="str">
        <x:v>VH-021</x:v>
      </x:c>
      <x:c r="B27" s="38" t="str">
        <x:v>M2</x:v>
      </x:c>
      <x:c r="C27" s="38" t="str">
        <x:v>E06</x:v>
      </x:c>
      <x:c r="D27" s="35" t="str">
        <x:v>WhatsApp</x:v>
      </x:c>
      <x:c r="E27" s="35" t="str">
        <x:v>Subscriber</x:v>
      </x:c>
      <x:c r="F27" s="35" t="str">
        <x:v>As a subscriber, I want delivery status and STOP/UNSUBSCRIBE handled reliably so that I can see failures and leave immediately.</x:v>
      </x:c>
      <x:c r="G27" s="35" t="str">
        <x:v>Webhook signature is verified; sent/delivered/read/failed transitions are idempotent; STOP/UNSUBSCRIBE revokes delivery immediately; retries and invalid signatures are observable.</x:v>
      </x:c>
      <x:c r="H27" s="38" t="str">
        <x:v>P0</x:v>
      </x:c>
      <x:c r="I27" s="38" t="str">
        <x:v>Done</x:v>
      </x:c>
      <x:c r="J27" s="35" t="str">
        <x:v>Public webhook for live verification</x:v>
      </x:c>
      <x:c r="K27" s="35" t="str">
        <x:v>Webhook replay and opt-out test</x:v>
      </x:c>
      <x:c r="L27" s="35" t="str">
        <x:v>Signed webhook reconciliation and tests exist.</x:v>
      </x:c>
    </x:row>
    <x:row r="28" ht="76" customHeight="1">
      <x:c r="A28" s="38" t="str">
        <x:v>VH-022</x:v>
      </x:c>
      <x:c r="B28" s="38" t="str">
        <x:v>M3</x:v>
      </x:c>
      <x:c r="C28" s="38" t="str">
        <x:v>E07</x:v>
      </x:c>
      <x:c r="D28" s="35" t="str">
        <x:v>Companions</x:v>
      </x:c>
      <x:c r="E28" s="35" t="str">
        <x:v>Adult user</x:v>
      </x:c>
      <x:c r="F28" s="35" t="str">
        <x:v>As an adult user, I want to choose a fictional AI girlfriend, AI boyfriend, friend, guy man, or iya agba so that the relationship frame is explicit.</x:v>
      </x:c>
      <x:c r="G28" s="35" t="str">
        <x:v>Five profiles are clearly fictional and AI-labelled; romantic profiles are separately tagged; no real-person likeness or implied human operator is used; profile can be changed by starting a new thread.</x:v>
      </x:c>
      <x:c r="H28" s="38" t="str">
        <x:v>P0</x:v>
      </x:c>
      <x:c r="I28" s="38" t="str">
        <x:v>Done</x:v>
      </x:c>
      <x:c r="J28" s="35" t="str">
        <x:v>None</x:v>
      </x:c>
      <x:c r="K28" s="35" t="str">
        <x:v>Companion catalog review</x:v>
      </x:c>
      <x:c r="L28" s="35" t="str">
        <x:v>Five companion profiles are seeded in the separate domain.</x:v>
      </x:c>
    </x:row>
    <x:row r="29" ht="76" customHeight="1">
      <x:c r="A29" s="38" t="str">
        <x:v>VH-023</x:v>
      </x:c>
      <x:c r="B29" s="38" t="str">
        <x:v>M3</x:v>
      </x:c>
      <x:c r="C29" s="38" t="str">
        <x:v>E07</x:v>
      </x:c>
      <x:c r="D29" s="35" t="str">
        <x:v>Companions</x:v>
      </x:c>
      <x:c r="E29" s="35" t="str">
        <x:v>Companion user</x:v>
      </x:c>
      <x:c r="F29" s="35" t="str">
        <x:v>As a companion user, I want private text and voice turns so that the interaction feels natural without becoming a public feed.</x:v>
      </x:c>
      <x:c r="G29" s="35" t="str">
        <x:v>Only owner-authorized clients can read/write a thread; input language can be selected; response text is safety-approved before persistence; optional audio uses an approved original voice; failures preserve conversation consistency.</x:v>
      </x:c>
      <x:c r="H29" s="38" t="str">
        <x:v>P0</x:v>
      </x:c>
      <x:c r="I29" s="38" t="str">
        <x:v>Planned</x:v>
      </x:c>
      <x:c r="J29" s="35" t="str">
        <x:v>Chosen response model, VH-009, VH-025, VH-026</x:v>
      </x:c>
      <x:c r="K29" s="35" t="str">
        <x:v>Companion end-to-end and privacy test</x:v>
      </x:c>
      <x:c r="L29" s="35" t="str">
        <x:v>Persistence/API exists; response generation and Android UI do not.</x:v>
      </x:c>
    </x:row>
    <x:row r="30" ht="76" customHeight="1">
      <x:c r="A30" s="38" t="str">
        <x:v>VH-024</x:v>
      </x:c>
      <x:c r="B30" s="38" t="str">
        <x:v>M3</x:v>
      </x:c>
      <x:c r="C30" s="38" t="str">
        <x:v>E08</x:v>
      </x:c>
      <x:c r="D30" s="35" t="str">
        <x:v>Trust &amp; Safety</x:v>
      </x:c>
      <x:c r="E30" s="35" t="str">
        <x:v>Romantic companion user</x:v>
      </x:c>
      <x:c r="F30" s="35" t="str">
        <x:v>As a romantic companion user, I want explicit AI disclosure and adult age assurance before conversation so that the product sets honest boundaries.</x:v>
      </x:c>
      <x:c r="G30" s="35" t="str">
        <x:v>Current disclosure version and age assurance are recorded before thread creation; under-18 or missing assurance is denied; disclosure remains visible in thread; gate changes are audited.</x:v>
      </x:c>
      <x:c r="H30" s="38" t="str">
        <x:v>P0</x:v>
      </x:c>
      <x:c r="I30" s="38" t="str">
        <x:v>Done</x:v>
      </x:c>
      <x:c r="J30" s="35" t="str">
        <x:v>Production age-assurance policy</x:v>
      </x:c>
      <x:c r="K30" s="35" t="str">
        <x:v>Age/disclosure compliance review</x:v>
      </x:c>
      <x:c r="L30" s="35" t="str">
        <x:v>Persisted deterministic gate exists; production assurance method remains an open decision.</x:v>
      </x:c>
    </x:row>
    <x:row r="31" ht="76" customHeight="1">
      <x:c r="A31" s="38" t="str">
        <x:v>VH-025</x:v>
      </x:c>
      <x:c r="B31" s="38" t="str">
        <x:v>M4</x:v>
      </x:c>
      <x:c r="C31" s="38" t="str">
        <x:v>E09</x:v>
      </x:c>
      <x:c r="D31" s="35" t="str">
        <x:v>Identity</x:v>
      </x:c>
      <x:c r="E31" s="35" t="str">
        <x:v>User</x:v>
      </x:c>
      <x:c r="F31" s="35" t="str">
        <x:v>As a user, I want secure sign-in so that my creations, subscriptions, and private conversations are bound to me.</x:v>
      </x:c>
      <x:c r="G31" s="35" t="str">
        <x:v>OIDC/Firebase ID token is verified server-side; stable subject is the owner key; expired/invalid tokens fail closed; Android stores tokens in encrypted storage; sign-out clears local secrets.</x:v>
      </x:c>
      <x:c r="H31" s="38" t="str">
        <x:v>P0</x:v>
      </x:c>
      <x:c r="I31" s="38" t="str">
        <x:v>Blocked</x:v>
      </x:c>
      <x:c r="J31" s="35" t="str">
        <x:v>Firebase project, Android app registration, google-services.json, server audience/issuer</x:v>
      </x:c>
      <x:c r="K31" s="35" t="str">
        <x:v>Production identity configuration</x:v>
      </x:c>
      <x:c r="L31" s="35" t="str">
        <x:v>Auth seams exist; production Firebase configuration is missing.</x:v>
      </x:c>
    </x:row>
    <x:row r="32" ht="76" customHeight="1">
      <x:c r="A32" s="38" t="str">
        <x:v>VH-026</x:v>
      </x:c>
      <x:c r="B32" s="38" t="str">
        <x:v>M3</x:v>
      </x:c>
      <x:c r="C32" s="38" t="str">
        <x:v>E08</x:v>
      </x:c>
      <x:c r="D32" s="35" t="str">
        <x:v>Trust &amp; Safety</x:v>
      </x:c>
      <x:c r="E32" s="35" t="str">
        <x:v>Companion user</x:v>
      </x:c>
      <x:c r="F32" s="35" t="str">
        <x:v>As a companion user, I want the AI prohibited from dependency, exclusivity, coercion, or isolation language so that it does not manipulate my relationship with it.</x:v>
      </x:c>
      <x:c r="G32" s="35" t="str">
        <x:v>Deterministic rules and a semantic classifier evaluate assistant output before persistence; blocked output is replaced with a safe response; adversarial multilingual tests cover paraphrases; decisions are reviewable without storing unnecessary raw text.</x:v>
      </x:c>
      <x:c r="H32" s="38" t="str">
        <x:v>P0</x:v>
      </x:c>
      <x:c r="I32" s="38" t="str">
        <x:v>Blocked</x:v>
      </x:c>
      <x:c r="J32" s="35" t="str">
        <x:v>Selected semantic safety model/service and evaluation set</x:v>
      </x:c>
      <x:c r="K32" s="35" t="str">
        <x:v>Adversarial companion safety evaluation</x:v>
      </x:c>
      <x:c r="L32" s="35" t="str">
        <x:v>Deterministic boundary exists; semantic classifier is not integrated.</x:v>
      </x:c>
    </x:row>
    <x:row r="33" ht="76" customHeight="1">
      <x:c r="A33" s="38" t="str">
        <x:v>VH-027</x:v>
      </x:c>
      <x:c r="B33" s="38" t="str">
        <x:v>M3</x:v>
      </x:c>
      <x:c r="C33" s="38" t="str">
        <x:v>E08</x:v>
      </x:c>
      <x:c r="D33" s="35" t="str">
        <x:v>Privacy</x:v>
      </x:c>
      <x:c r="E33" s="35" t="str">
        <x:v>Companion user</x:v>
      </x:c>
      <x:c r="F33" s="35" t="str">
        <x:v>As a companion user, I want block, report, export, and delete controls so that I can stop contact and control my data.</x:v>
      </x:c>
      <x:c r="G33" s="35" t="str">
        <x:v>Block closes active threads and prevents new turns; report captures category and minimal evidence; export is authenticated JSON; deletion removes thread/message data and scheduled media according to published retention timing.</x:v>
      </x:c>
      <x:c r="H33" s="38" t="str">
        <x:v>P0</x:v>
      </x:c>
      <x:c r="I33" s="38" t="str">
        <x:v>Done</x:v>
      </x:c>
      <x:c r="J33" s="35" t="str">
        <x:v>Production retention policy</x:v>
      </x:c>
      <x:c r="K33" s="35" t="str">
        <x:v>Privacy rights workflow test</x:v>
      </x:c>
      <x:c r="L33" s="35" t="str">
        <x:v>Backend operations and tests exist; end-user UI/operations runbook remain planned.</x:v>
      </x:c>
    </x:row>
    <x:row r="34" ht="76" customHeight="1">
      <x:c r="A34" s="38" t="str">
        <x:v>VH-028</x:v>
      </x:c>
      <x:c r="B34" s="38" t="str">
        <x:v>M4</x:v>
      </x:c>
      <x:c r="C34" s="38" t="str">
        <x:v>E09</x:v>
      </x:c>
      <x:c r="D34" s="35" t="str">
        <x:v>Authorization</x:v>
      </x:c>
      <x:c r="E34" s="35" t="str">
        <x:v>Security engineer</x:v>
      </x:c>
      <x:c r="F34" s="35" t="str">
        <x:v>As a security engineer, I want role and ownership checks at every API boundary so that publishers, users, and operators see only authorized data.</x:v>
      </x:c>
      <x:c r="G34" s="35" t="str">
        <x:v>Every private query includes owner subject; publisher mutations require channel ownership/role; admin operations are separately scoped; negative authorization tests cover cross-user and cross-publisher access.</x:v>
      </x:c>
      <x:c r="H34" s="38" t="str">
        <x:v>P0</x:v>
      </x:c>
      <x:c r="I34" s="38" t="str">
        <x:v>In Progress</x:v>
      </x:c>
      <x:c r="J34" s="35" t="str">
        <x:v>VH-025</x:v>
      </x:c>
      <x:c r="K34" s="35" t="str">
        <x:v>Authorization test suite</x:v>
      </x:c>
      <x:c r="L34" s="35" t="str">
        <x:v>Owner/publisher checks exist; production identity mapping remains.</x:v>
      </x:c>
    </x:row>
    <x:row r="35" ht="76" customHeight="1">
      <x:c r="A35" s="38" t="str">
        <x:v>VH-029</x:v>
      </x:c>
      <x:c r="B35" s="38" t="str">
        <x:v>M4</x:v>
      </x:c>
      <x:c r="C35" s="38" t="str">
        <x:v>E09</x:v>
      </x:c>
      <x:c r="D35" s="35" t="str">
        <x:v>Data Protection</x:v>
      </x:c>
      <x:c r="E35" s="35" t="str">
        <x:v>Privacy engineer</x:v>
      </x:c>
      <x:c r="F35" s="35" t="str">
        <x:v>As a privacy engineer, I want encryption, retention, and redacted telemetry so that sensitive text, phone numbers, and audio are not exposed unnecessarily.</x:v>
      </x:c>
      <x:c r="G35" s="35" t="str">
        <x:v>TLS everywhere; secrets are injected; phone numbers encrypted at rest; logs exclude scripts, message bodies, tokens, and raw phone numbers; media/text retention and deletion schedules are documented and enforced.</x:v>
      </x:c>
      <x:c r="H35" s="38" t="str">
        <x:v>P0</x:v>
      </x:c>
      <x:c r="I35" s="38" t="str">
        <x:v>Planned</x:v>
      </x:c>
      <x:c r="J35" s="35" t="str">
        <x:v>Cloud key management and retention policy</x:v>
      </x:c>
      <x:c r="K35" s="35" t="str">
        <x:v>Privacy and security review</x:v>
      </x:c>
      <x:c r="L35" s="35" t="str">
        <x:v>Redaction requirements are documented; production enforcement is incomplete.</x:v>
      </x:c>
    </x:row>
    <x:row r="36" ht="76" customHeight="1">
      <x:c r="A36" s="38" t="str">
        <x:v>VH-030</x:v>
      </x:c>
      <x:c r="B36" s="38" t="str">
        <x:v>M4</x:v>
      </x:c>
      <x:c r="C36" s="38" t="str">
        <x:v>E10</x:v>
      </x:c>
      <x:c r="D36" s="35" t="str">
        <x:v>Cloud Platform</x:v>
      </x:c>
      <x:c r="E36" s="35" t="str">
        <x:v>Platform engineer</x:v>
      </x:c>
      <x:c r="F36" s="35" t="str">
        <x:v>As a platform engineer, I want the backend deployed on Cloudflare-compatible services so that early operating cost remains bounded without sacrificing correctness.</x:v>
      </x:c>
      <x:c r="G36" s="35" t="str">
        <x:v>HTTP API, queue workers, database, and object storage have documented Cloudflare mappings; provider calls are asynchronous; migrations are a release step; no FFmpeg dependency is required for Spitch-only launch traffic.</x:v>
      </x:c>
      <x:c r="H36" s="38" t="str">
        <x:v>P0</x:v>
      </x:c>
      <x:c r="I36" s="38" t="str">
        <x:v>Planned</x:v>
      </x:c>
      <x:c r="J36" s="35" t="str">
        <x:v>Cloudflare account and architecture decision for PostgreSQL-to-D1 compatibility</x:v>
      </x:c>
      <x:c r="K36" s="35" t="str">
        <x:v>Cloud staging deployment</x:v>
      </x:c>
      <x:c r="L36" s="35" t="str">
        <x:v>Current backend targets FastAPI/PostgreSQL; migration plan is not implemented.</x:v>
      </x:c>
    </x:row>
    <x:row r="37" ht="76" customHeight="1">
      <x:c r="A37" s="38" t="str">
        <x:v>VH-031</x:v>
      </x:c>
      <x:c r="B37" s="38" t="str">
        <x:v>M4</x:v>
      </x:c>
      <x:c r="C37" s="38" t="str">
        <x:v>E10</x:v>
      </x:c>
      <x:c r="D37" s="35" t="str">
        <x:v>Reliability</x:v>
      </x:c>
      <x:c r="E37" s="35" t="str">
        <x:v>On-call engineer</x:v>
      </x:c>
      <x:c r="F37" s="35" t="str">
        <x:v>As an on-call engineer, I want health checks, metrics, tracing, alerts, and runbooks so that failures are detected and recoverable.</x:v>
      </x:c>
      <x:c r="G37" s="35" t="str">
        <x:v>Readiness checks dependencies; traces correlate request/job/provider/media/delivery IDs; SLO alerts cover latency/error/backlog; backup restore and provider outage runbooks are exercised.</x:v>
      </x:c>
      <x:c r="H37" s="38" t="str">
        <x:v>P0</x:v>
      </x:c>
      <x:c r="I37" s="38" t="str">
        <x:v>Planned</x:v>
      </x:c>
      <x:c r="J37" s="35" t="str">
        <x:v>Cloud staging</x:v>
      </x:c>
      <x:c r="K37" s="35" t="str">
        <x:v>Operational readiness review</x:v>
      </x:c>
      <x:c r="L37" s="35" t="str">
        <x:v>Metrics are specified; production telemetry and drills are missing.</x:v>
      </x:c>
    </x:row>
    <x:row r="38" ht="76" customHeight="1">
      <x:c r="A38" s="38" t="str">
        <x:v>VH-032</x:v>
      </x:c>
      <x:c r="B38" s="38" t="str">
        <x:v>M4</x:v>
      </x:c>
      <x:c r="C38" s="38" t="str">
        <x:v>E10</x:v>
      </x:c>
      <x:c r="D38" s="35" t="str">
        <x:v>FinOps</x:v>
      </x:c>
      <x:c r="E38" s="35" t="str">
        <x:v>Product owner</x:v>
      </x:c>
      <x:c r="F38" s="35" t="str">
        <x:v>As the product owner, I want usage quotas and cost alarms so that the initial cloud bill stays within the approved envelope.</x:v>
      </x:c>
      <x:c r="G38" s="35" t="str">
        <x:v>Per-user/provider rate limits exist; daily spend estimate covers provider, queue, database, storage, and egress; alerts fire before budget exhaustion; abusive accounts can be throttled without affecting all users.</x:v>
      </x:c>
      <x:c r="H38" s="38" t="str">
        <x:v>P0</x:v>
      </x:c>
      <x:c r="I38" s="38" t="str">
        <x:v>Planned</x:v>
      </x:c>
      <x:c r="J38" s="35" t="str">
        <x:v>Provider pricing and Cloudflare production account</x:v>
      </x:c>
      <x:c r="K38" s="35" t="str">
        <x:v>Cost model and load test</x:v>
      </x:c>
      <x:c r="L38" s="35" t="str">
        <x:v>$5 target is an experiment assumption, not a production guarantee.</x:v>
      </x:c>
    </x:row>
    <x:row r="39" ht="76" customHeight="1">
      <x:c r="A39" s="38" t="str">
        <x:v>VH-033</x:v>
      </x:c>
      <x:c r="B39" s="38" t="str">
        <x:v>M5</x:v>
      </x:c>
      <x:c r="C39" s="38" t="str">
        <x:v>E11</x:v>
      </x:c>
      <x:c r="D39" s="35" t="str">
        <x:v>Language QA</x:v>
      </x:c>
      <x:c r="E39" s="35" t="str">
        <x:v>Language reviewer</x:v>
      </x:c>
      <x:c r="F39" s="35" t="str">
        <x:v>As a language reviewer, I want a scored evaluation set for all five languages so that launch voices and translations meet an explicit quality bar.</x:v>
      </x:c>
      <x:c r="G39" s="35" t="str">
        <x:v>Native reviewers score intelligibility, pronunciation, naturalness, code-switching, and harmful mistranslation; provider/voice/version is recorded; minimum scores and rollback thresholds are approved.</x:v>
      </x:c>
      <x:c r="H39" s="38" t="str">
        <x:v>P0</x:v>
      </x:c>
      <x:c r="I39" s="38" t="str">
        <x:v>Planned</x:v>
      </x:c>
      <x:c r="J39" s="35" t="str">
        <x:v>Reviewer panel and provider candidates</x:v>
      </x:c>
      <x:c r="K39" s="35" t="str">
        <x:v>Language quality sign-off</x:v>
      </x:c>
      <x:c r="L39" s="35" t="str">
        <x:v>No production language evaluation report yet.</x:v>
      </x:c>
    </x:row>
    <x:row r="40" ht="76" customHeight="1">
      <x:c r="A40" s="38" t="str">
        <x:v>VH-034</x:v>
      </x:c>
      <x:c r="B40" s="38" t="str">
        <x:v>M5</x:v>
      </x:c>
      <x:c r="C40" s="38" t="str">
        <x:v>E11</x:v>
      </x:c>
      <x:c r="D40" s="35" t="str">
        <x:v>Android Release</x:v>
      </x:c>
      <x:c r="E40" s="35" t="str">
        <x:v>Android user</x:v>
      </x:c>
      <x:c r="F40" s="35" t="str">
        <x:v>As an Android user, I want a stable, accessible, signed application so that core flows work across supported devices.</x:v>
      </x:c>
      <x:c r="G40" s="35" t="str">
        <x:v>Supported OS/device matrix passes create/play/share/auth/offline tests; crash-free threshold is met; TalkBack and large text are usable; Play signing, privacy labels, and store disclosures are complete.</x:v>
      </x:c>
      <x:c r="H40" s="38" t="str">
        <x:v>P0</x:v>
      </x:c>
      <x:c r="I40" s="38" t="str">
        <x:v>Planned</x:v>
      </x:c>
      <x:c r="J40" s="35" t="str">
        <x:v>M1-M4 gates</x:v>
      </x:c>
      <x:c r="K40" s="35" t="str">
        <x:v>Play closed-test approval</x:v>
      </x:c>
      <x:c r="L40" s="35" t="str">
        <x:v>Debug build passes locally; release configuration is incomplete.</x:v>
      </x:c>
    </x:row>
    <x:row r="41" ht="76" customHeight="1">
      <x:c r="A41" s="38" t="str">
        <x:v>VH-035</x:v>
      </x:c>
      <x:c r="B41" s="38" t="str">
        <x:v>M5</x:v>
      </x:c>
      <x:c r="C41" s="38" t="str">
        <x:v>E11</x:v>
      </x:c>
      <x:c r="D41" s="35" t="str">
        <x:v>Operations</x:v>
      </x:c>
      <x:c r="E41" s="35" t="str">
        <x:v>Support agent</x:v>
      </x:c>
      <x:c r="F41" s="35" t="str">
        <x:v>As a support agent, I want moderation, privacy, billing, delivery, and provider incident playbooks so that user reports receive consistent outcomes.</x:v>
      </x:c>
      <x:c r="G41" s="35" t="str">
        <x:v>Runbooks define severity, owner, evidence access, response time, escalation, user communication, and closure; takedown and safety exercises complete before beta expansion.</x:v>
      </x:c>
      <x:c r="H41" s="38" t="str">
        <x:v>P0</x:v>
      </x:c>
      <x:c r="I41" s="38" t="str">
        <x:v>Planned</x:v>
      </x:c>
      <x:c r="J41" s="35" t="str">
        <x:v>Named operational owners</x:v>
      </x:c>
      <x:c r="K41" s="35" t="str">
        <x:v>Launch operations drill</x:v>
      </x:c>
      <x:c r="L41" s="35" t="str">
        <x:v>No complete production runbook set yet.</x:v>
      </x:c>
    </x:row>
    <x:row r="42" ht="76" customHeight="1">
      <x:c r="A42" s="38" t="str">
        <x:v>VH-036</x:v>
      </x:c>
      <x:c r="B42" s="38" t="str">
        <x:v>M5</x:v>
      </x:c>
      <x:c r="C42" s="38" t="str">
        <x:v>E12</x:v>
      </x:c>
      <x:c r="D42" s="35" t="str">
        <x:v>Analytics</x:v>
      </x:c>
      <x:c r="E42" s="35" t="str">
        <x:v>Product manager</x:v>
      </x:c>
      <x:c r="F42" s="35" t="str">
        <x:v>As a product manager, I want privacy-preserving product events so that I can measure whether people successfully create, listen, and return.</x:v>
      </x:c>
      <x:c r="G42" s="35" t="str">
        <x:v>Events exclude message text/audio/phone numbers; funnel measures create start-to-share, channel follow-to-play, opt-in delivery, and companion return; consent and deletion rules apply to analytics identifiers.</x:v>
      </x:c>
      <x:c r="H42" s="38" t="str">
        <x:v>P1</x:v>
      </x:c>
      <x:c r="I42" s="38" t="str">
        <x:v>Planned</x:v>
      </x:c>
      <x:c r="J42" s="35" t="str">
        <x:v>Analytics provider and privacy review</x:v>
      </x:c>
      <x:c r="K42" s="35" t="str">
        <x:v>Analytics schema review</x:v>
      </x:c>
      <x:c r="L42" s="35" t="str">
        <x:v>Metrics are defined; instrumentation is not implemented.</x:v>
      </x:c>
    </x:row>
    <x:row r="43" ht="76" customHeight="1">
      <x:c r="A43" s="38" t="str">
        <x:v>VH-037</x:v>
      </x:c>
      <x:c r="B43" s="38" t="str">
        <x:v>M5</x:v>
      </x:c>
      <x:c r="C43" s="38" t="str">
        <x:v>E12</x:v>
      </x:c>
      <x:c r="D43" s="35" t="str">
        <x:v>Product</x:v>
      </x:c>
      <x:c r="E43" s="35" t="str">
        <x:v>Beta owner</x:v>
      </x:c>
      <x:c r="F43" s="35" t="str">
        <x:v>As the beta owner, I want staged cohorts and kill switches so that risky features can be expanded or stopped independently.</x:v>
      </x:c>
      <x:c r="G43" s="35" t="str">
        <x:v>Create cloud voice, translation, WhatsApp delivery, and romantic companions have separate server-controlled flags; cohorts and rollback owner are documented; disabling a feature preserves user data and clear messaging.</x:v>
      </x:c>
      <x:c r="H43" s="38" t="str">
        <x:v>P0</x:v>
      </x:c>
      <x:c r="I43" s="38" t="str">
        <x:v>Planned</x:v>
      </x:c>
      <x:c r="J43" s="35" t="str">
        <x:v>Cloud configuration and telemetry</x:v>
      </x:c>
      <x:c r="K43" s="35" t="str">
        <x:v>Controlled rollout test</x:v>
      </x:c>
      <x:c r="L43" s="35" t="str">
        <x:v>No production feature-flag service is wired.</x:v>
      </x:c>
    </x:row>
    <x:row r="44" ht="76" customHeight="1">
      <x:c r="A44" s="39" t="str">
        <x:v>VH-038</x:v>
      </x:c>
      <x:c r="B44" s="39" t="str">
        <x:v>M5</x:v>
      </x:c>
      <x:c r="C44" s="39" t="str">
        <x:v>E12</x:v>
      </x:c>
      <x:c r="D44" s="36" t="str">
        <x:v>Product</x:v>
      </x:c>
      <x:c r="E44" s="36" t="str">
        <x:v>Product team</x:v>
      </x:c>
      <x:c r="F44" s="36" t="str">
        <x:v>As the product team, we want a weekly launch scorecard so that expansion decisions use agreed evidence rather than anecdotes.</x:v>
      </x:c>
      <x:c r="G44" s="36" t="str">
        <x:v>Scorecard reports activation, successful shares, listening retention, provider error/latency, delivery opt-out, safety intervention, report rate, crash-free sessions, and cost per active user; owners review it weekly.</x:v>
      </x:c>
      <x:c r="H44" s="39" t="str">
        <x:v>P1</x:v>
      </x:c>
      <x:c r="I44" s="39" t="str">
        <x:v>Planned</x:v>
      </x:c>
      <x:c r="J44" s="36" t="str">
        <x:v>VH-031, VH-032, VH-036</x:v>
      </x:c>
      <x:c r="K44" s="36" t="str">
        <x:v>Beta governance cadence</x:v>
      </x:c>
      <x:c r="L44" s="36" t="str">
        <x:v>Metric definitions exist in PRD baseline.</x:v>
      </x:c>
    </x:row>
  </x:sheetData>
  <x:mergeCells>
    <x:mergeCell ref="A1:L1"/>
    <x:mergeCell ref="A2:L2"/>
    <x:mergeCell ref="A4:L4"/>
  </x:mergeCells>
  <x:conditionalFormatting sqref="H7:H44">
    <x:cfRule type="containsText" dxfId="0" priority="1" operator="containsText" text="P0"/>
    <x:cfRule type="containsText" dxfId="1" priority="2" operator="containsText" text="P1"/>
  </x:conditionalFormatting>
  <x:conditionalFormatting sqref="I7:I44">
    <x:cfRule type="containsText" dxfId="2" priority="3" operator="containsText" text="Done"/>
    <x:cfRule type="containsText" dxfId="3" priority="4" operator="containsText" text="In Progress"/>
    <x:cfRule type="containsText" dxfId="4" priority="5" operator="containsText" text="Blocked"/>
    <x:cfRule type="containsText" dxfId="5" priority="6" operator="containsText" text="Planned"/>
  </x:conditionalFormatting>
  <x:dataValidations count="2">
    <x:dataValidation type="list" sqref="H7:H44">
      <x:formula1>"P0,P1,P2"</x:formula1>
    </x:dataValidation>
    <x:dataValidation type="list" sqref="I7:I44">
      <x:formula1>"Planned,In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a9c7c6d8d04d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0" hidden="0" customWidth="1"/>
    <x:col min="3" max="3" width="80" hidden="0" customWidth="1"/>
    <x:col min="4" max="4" width="24" hidden="0" customWidth="1"/>
    <x:col min="5" max="5" width="12" hidden="0" customWidth="1"/>
    <x:col min="6" max="6" width="15" hidden="0" customWidth="1"/>
  </x:cols>
  <x:sheetData>
    <x:row r="1" ht="32" customHeight="1">
      <x:c r="A1" s="3" t="str">
        <x:v>VOICE HUB — RELEASE GATES</x:v>
      </x:c>
      <x:c r="B1" s="3"/>
      <x:c r="C1" s="3"/>
      <x:c r="D1" s="3"/>
      <x:c r="E1" s="3"/>
      <x:c r="F1" s="3"/>
    </x:row>
    <x:row r="2" ht="30" customHeight="1">
      <x:c r="A2" s="6" t="str">
        <x:v>A milestone cannot graduate until its linked production evidence is complete</x:v>
      </x:c>
      <x:c r="B2" s="6"/>
      <x:c r="C2" s="6"/>
      <x:c r="D2" s="6"/>
      <x:c r="E2" s="6"/>
      <x:c r="F2" s="6"/>
    </x:row>
    <x:row r="5" ht="30" customHeight="1">
      <x:c r="A5" s="26" t="str">
        <x:v>Gate ID</x:v>
      </x:c>
      <x:c r="B5" s="26" t="str">
        <x:v>Gate</x:v>
      </x:c>
      <x:c r="C5" s="26" t="str">
        <x:v>Criterion</x:v>
      </x:c>
      <x:c r="D5" s="26" t="str">
        <x:v>Owner</x:v>
      </x:c>
      <x:c r="E5" s="26" t="str">
        <x:v>Milestone</x:v>
      </x:c>
      <x:c r="F5" s="26" t="str">
        <x:v>Status</x:v>
      </x:c>
    </x:row>
    <x:row r="6" ht="58" customHeight="1">
      <x:c r="A6" s="34" t="str">
        <x:v>G01</x:v>
      </x:c>
      <x:c r="B6" s="34" t="str">
        <x:v>Identity</x:v>
      </x:c>
      <x:c r="C6" s="34" t="str">
        <x:v>Production OIDC/Firebase configuration is live and negative authorization tests pass.</x:v>
      </x:c>
      <x:c r="D6" s="34" t="str">
        <x:v>Platform</x:v>
      </x:c>
      <x:c r="E6" s="34" t="str">
        <x:v>M4</x:v>
      </x:c>
      <x:c r="F6" s="34" t="str">
        <x:v>Blocked</x:v>
      </x:c>
    </x:row>
    <x:row r="7" ht="58" customHeight="1">
      <x:c r="A7" s="35" t="str">
        <x:v>G02</x:v>
      </x:c>
      <x:c r="B7" s="35" t="str">
        <x:v>Voice and language quality</x:v>
      </x:c>
      <x:c r="C7" s="35" t="str">
        <x:v>All launch language/provider combinations meet native-review thresholds with rollback versions recorded.</x:v>
      </x:c>
      <x:c r="D7" s="35" t="str">
        <x:v>Language QA</x:v>
      </x:c>
      <x:c r="E7" s="35" t="str">
        <x:v>M5</x:v>
      </x:c>
      <x:c r="F7" s="35" t="str">
        <x:v>Planned</x:v>
      </x:c>
    </x:row>
    <x:row r="8" ht="58" customHeight="1">
      <x:c r="A8" s="35" t="str">
        <x:v>G03</x:v>
      </x:c>
      <x:c r="B8" s="35" t="str">
        <x:v>Audio compatibility</x:v>
      </x:c>
      <x:c r="C8" s="35" t="str">
        <x:v>Cloud and device paths produce valid playable Ogg/Opus across the supported Android and WhatsApp matrix.</x:v>
      </x:c>
      <x:c r="D8" s="35" t="str">
        <x:v>Android + Backend</x:v>
      </x:c>
      <x:c r="E8" s="35" t="str">
        <x:v>M1</x:v>
      </x:c>
      <x:c r="F8" s="35" t="str">
        <x:v>Planned</x:v>
      </x:c>
    </x:row>
    <x:row r="9" ht="58" customHeight="1">
      <x:c r="A9" s="35" t="str">
        <x:v>G04</x:v>
      </x:c>
      <x:c r="B9" s="35" t="str">
        <x:v>WhatsApp production</x:v>
      </x:c>
      <x:c r="C9" s="35" t="str">
        <x:v>Verified Meta business/WABA, approved templates, signed public webhook, consent, opt-out, and delivery replay are verified.</x:v>
      </x:c>
      <x:c r="D9" s="35" t="str">
        <x:v>Operations</x:v>
      </x:c>
      <x:c r="E9" s="35" t="str">
        <x:v>M2</x:v>
      </x:c>
      <x:c r="F9" s="35" t="str">
        <x:v>Blocked</x:v>
      </x:c>
    </x:row>
    <x:row r="10" ht="58" customHeight="1">
      <x:c r="A10" s="35" t="str">
        <x:v>G05</x:v>
      </x:c>
      <x:c r="B10" s="35" t="str">
        <x:v>Editorial operations</x:v>
      </x:c>
      <x:c r="C10" s="35" t="str">
        <x:v>Named owners, source/review records, jobs expiry/scam controls, advice boundaries, and takedown runbook are exercised.</x:v>
      </x:c>
      <x:c r="D10" s="35" t="str">
        <x:v>Editorial Ops</x:v>
      </x:c>
      <x:c r="E10" s="35" t="str">
        <x:v>M2</x:v>
      </x:c>
      <x:c r="F10" s="35" t="str">
        <x:v>Planned</x:v>
      </x:c>
    </x:row>
    <x:row r="11" ht="58" customHeight="1">
      <x:c r="A11" s="35" t="str">
        <x:v>G06</x:v>
      </x:c>
      <x:c r="B11" s="35" t="str">
        <x:v>Companion safety</x:v>
      </x:c>
      <x:c r="C11" s="35" t="str">
        <x:v>AI disclosure, adult gating, semantic anti-manipulation evaluation, block/report, export/delete, and incident workflow pass review.</x:v>
      </x:c>
      <x:c r="D11" s="35" t="str">
        <x:v>Trust &amp; Safety</x:v>
      </x:c>
      <x:c r="E11" s="35" t="str">
        <x:v>M3</x:v>
      </x:c>
      <x:c r="F11" s="35" t="str">
        <x:v>Blocked</x:v>
      </x:c>
    </x:row>
    <x:row r="12" ht="58" customHeight="1">
      <x:c r="A12" s="35" t="str">
        <x:v>G07</x:v>
      </x:c>
      <x:c r="B12" s="35" t="str">
        <x:v>Cloud operations</x:v>
      </x:c>
      <x:c r="C12" s="35" t="str">
        <x:v>Staging load, queues, storage, observability, backups, rate limits, and cost alarms meet approved thresholds.</x:v>
      </x:c>
      <x:c r="D12" s="35" t="str">
        <x:v>Platform</x:v>
      </x:c>
      <x:c r="E12" s="35" t="str">
        <x:v>M4</x:v>
      </x:c>
      <x:c r="F12" s="35" t="str">
        <x:v>Planned</x:v>
      </x:c>
    </x:row>
    <x:row r="13" ht="58" customHeight="1">
      <x:c r="A13" s="36" t="str">
        <x:v>G08</x:v>
      </x:c>
      <x:c r="B13" s="36" t="str">
        <x:v>Android release</x:v>
      </x:c>
      <x:c r="C13" s="36" t="str">
        <x:v>Closed testing, signing, store declarations, accessibility, supported-device coverage, and crash-free threshold are complete.</x:v>
      </x:c>
      <x:c r="D13" s="36" t="str">
        <x:v>Android + QA</x:v>
      </x:c>
      <x:c r="E13" s="36" t="str">
        <x:v>M5</x:v>
      </x:c>
      <x:c r="F13" s="36" t="str">
        <x:v>Planned</x:v>
      </x:c>
    </x:row>
  </x:sheetData>
  <x:mergeCells>
    <x:mergeCell ref="A1:F1"/>
    <x:mergeCell ref="A2:F2"/>
  </x:mergeCells>
  <x:conditionalFormatting sqref="F6:F13">
    <x:cfRule type="containsText" dxfId="6" priority="1" operator="containsText" text="Done"/>
    <x:cfRule type="containsText" dxfId="7" priority="2" operator="containsText" text="In Progress"/>
    <x:cfRule type="containsText" dxfId="8" priority="3" operator="containsText" text="Blocked"/>
    <x:cfRule type="containsText" dxfId="9" priority="4" operator="containsText" text="Planned"/>
  </x:conditionalFormatting>
  <x:dataValidations count="1">
    <x:dataValidation type="list" sqref="F6:F13">
      <x:formula1>"Planned,In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62f57d17704d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  <x:col min="3" max="3" width="56" hidden="0" customWidth="1"/>
    <x:col min="4" max="4" width="14" hidden="0" customWidth="1"/>
  </x:cols>
  <x:sheetData>
    <x:row r="1" ht="32" customHeight="1">
      <x:c r="A1" s="3" t="str">
        <x:v>VOICE HUB — WORKBOOK GUIDE &amp; REFERENCES</x:v>
      </x:c>
      <x:c r="B1" s="3"/>
      <x:c r="C1" s="3"/>
      <x:c r="D1" s="3"/>
    </x:row>
    <x:row r="2" ht="30" customHeight="1">
      <x:c r="A2" s="6" t="str">
        <x:v>How to maintain the plan and the authoritative technical references used</x:v>
      </x:c>
      <x:c r="B2" s="6"/>
      <x:c r="C2" s="6"/>
      <x:c r="D2" s="6"/>
    </x:row>
    <x:row r="4">
      <x:c r="A4" s="51" t="str">
        <x:v>WORKBOOK RULES</x:v>
      </x:c>
      <x:c r="B4" s="51"/>
      <x:c r="C4" s="51"/>
      <x:c r="D4" s="51"/>
    </x:row>
    <x:row r="5" ht="28" customHeight="1">
      <x:c r="A5" s="61" t="str">
        <x:v>1</x:v>
      </x:c>
      <x:c r="B5" s="34" t="str">
        <x:v>User Stories is the editable source of truth for status and priority.</x:v>
      </x:c>
      <x:c r="C5" s="34"/>
      <x:c r="D5" s="34"/>
    </x:row>
    <x:row r="6" ht="28" customHeight="1">
      <x:c r="A6" s="62" t="str">
        <x:v>2</x:v>
      </x:c>
      <x:c r="B6" s="35" t="str">
        <x:v>Roadmap and Epics progress are formula-derived from Done stories.</x:v>
      </x:c>
      <x:c r="C6" s="35"/>
      <x:c r="D6" s="35"/>
    </x:row>
    <x:row r="7" ht="28" customHeight="1">
      <x:c r="A7" s="62" t="str">
        <x:v>3</x:v>
      </x:c>
      <x:c r="B7" s="35" t="str">
        <x:v>Blocked means an explicit external dependency or unresolved production decision.</x:v>
      </x:c>
      <x:c r="C7" s="35"/>
      <x:c r="D7" s="35"/>
    </x:row>
    <x:row r="8" ht="28" customHeight="1">
      <x:c r="A8" s="63" t="str">
        <x:v>4</x:v>
      </x:c>
      <x:c r="B8" s="36" t="str">
        <x:v>Dates are intentionally absent until capacity and external approval owners commit them.</x:v>
      </x:c>
      <x:c r="C8" s="36"/>
      <x:c r="D8" s="36"/>
    </x:row>
    <x:row r="10">
      <x:c r="A10" s="26" t="str">
        <x:v>Reference</x:v>
      </x:c>
      <x:c r="B10" s="26" t="str">
        <x:v>URL</x:v>
      </x:c>
      <x:c r="C10" s="26" t="str">
        <x:v>Use</x:v>
      </x:c>
      <x:c r="D10" s="26" t="str">
        <x:v>Reviewed</x:v>
      </x:c>
    </x:row>
    <x:row r="11" ht="42" customHeight="1">
      <x:c r="A11" s="34" t="str">
        <x:v>Spitch Speech API</x:v>
      </x:c>
      <x:c r="B11" s="34" t="str">
        <x:v>https://docs.spitch.app/features/speech</x:v>
      </x:c>
      <x:c r="C11" s="34" t="str">
        <x:v>Direct Ogg/Opus speech synthesis and Nigerian-language voices.</x:v>
      </x:c>
      <x:c r="D11" s="64" t="str">
        <x:v>2026-08-15</x:v>
      </x:c>
    </x:row>
    <x:row r="12" ht="42" customHeight="1">
      <x:c r="A12" s="35" t="str">
        <x:v>Spitch Translation API</x:v>
      </x:c>
      <x:c r="B12" s="35" t="str">
        <x:v>https://docs.spitch.app/api/text/translate</x:v>
      </x:c>
      <x:c r="C12" s="35" t="str">
        <x:v>Translation among English, Pidgin, Yorùbá, Hausa, and Igbo.</x:v>
      </x:c>
      <x:c r="D12" s="65" t="str">
        <x:v>2026-08-15</x:v>
      </x:c>
    </x:row>
    <x:row r="13" ht="42" customHeight="1">
      <x:c r="A13" s="35" t="str">
        <x:v>Android TextToSpeech</x:v>
      </x:c>
      <x:c r="B13" s="35" t="str">
        <x:v>https://developer.android.com/reference/android/speech/tts/TextToSpeech</x:v>
      </x:c>
      <x:c r="C13" s="35" t="str">
        <x:v>Installed-engine capability and local synthesis behavior.</x:v>
      </x:c>
      <x:c r="D13" s="65" t="str">
        <x:v>2026-08-15</x:v>
      </x:c>
    </x:row>
    <x:row r="14" ht="42" customHeight="1">
      <x:c r="A14" s="35" t="str">
        <x:v>Android TTS Engine</x:v>
      </x:c>
      <x:c r="B14" s="35" t="str">
        <x:v>https://developer.android.com/reference/android/speech/tts/TextToSpeech.Engine</x:v>
      </x:c>
      <x:c r="C14" s="35" t="str">
        <x:v>Language-data install and engine settings actions.</x:v>
      </x:c>
      <x:c r="D14" s="65" t="str">
        <x:v>2026-08-15</x:v>
      </x:c>
    </x:row>
    <x:row r="15" ht="42" customHeight="1">
      <x:c r="A15" s="35" t="str">
        <x:v>Android supported media formats</x:v>
      </x:c>
      <x:c r="B15" s="35" t="str">
        <x:v>https://developer.android.com/media/platform/supported-formats</x:v>
      </x:c>
      <x:c r="C15" s="35" t="str">
        <x:v>Opus platform support baseline.</x:v>
      </x:c>
      <x:c r="D15" s="65" t="str">
        <x:v>2026-08-15</x:v>
      </x:c>
    </x:row>
    <x:row r="16" ht="42" customHeight="1">
      <x:c r="A16" s="35" t="str">
        <x:v>AndroidX Media3 OggMuxer</x:v>
      </x:c>
      <x:c r="B16" s="35" t="str">
        <x:v>https://developer.android.com/reference/androidx/media3/muxer/OggMuxer</x:v>
      </x:c>
      <x:c r="C16" s="35" t="str">
        <x:v>Ogg container option for supported Android versions.</x:v>
      </x:c>
      <x:c r="D16" s="65" t="str">
        <x:v>2026-08-15</x:v>
      </x:c>
    </x:row>
    <x:row r="17" ht="42" customHeight="1">
      <x:c r="A17" s="35" t="str">
        <x:v>WhatsApp Cloud API audio message</x:v>
      </x:c>
      <x:c r="B17" s="35" t="str">
        <x:v>https://www.postman.com/meta/whatsapp-business-platform/request/juzqcg2/send-audio-message-by-url</x:v>
      </x:c>
      <x:c r="C17" s="35" t="str">
        <x:v>Server-originated audio delivery contract.</x:v>
      </x:c>
      <x:c r="D17" s="65" t="str">
        <x:v>2026-08-15</x:v>
      </x:c>
    </x:row>
    <x:row r="18" ht="42" customHeight="1">
      <x:c r="A18" s="35" t="str">
        <x:v>Cloudflare Workers pricing</x:v>
      </x:c>
      <x:c r="B18" s="35" t="str">
        <x:v>https://developers.cloudflare.com/workers/platform/pricing/</x:v>
      </x:c>
      <x:c r="C18" s="35" t="str">
        <x:v>Cloud execution assumptions and limits.</x:v>
      </x:c>
      <x:c r="D18" s="65" t="str">
        <x:v>2026-08-15</x:v>
      </x:c>
    </x:row>
    <x:row r="19" ht="42" customHeight="1">
      <x:c r="A19" s="35" t="str">
        <x:v>Cloudflare D1 pricing</x:v>
      </x:c>
      <x:c r="B19" s="35" t="str">
        <x:v>https://developers.cloudflare.com/d1/platform/pricing/</x:v>
      </x:c>
      <x:c r="C19" s="35" t="str">
        <x:v>Database cost and capacity assumptions.</x:v>
      </x:c>
      <x:c r="D19" s="65" t="str">
        <x:v>2026-08-15</x:v>
      </x:c>
    </x:row>
    <x:row r="20" ht="42" customHeight="1">
      <x:c r="A20" s="35" t="str">
        <x:v>Cloudflare R2 pricing</x:v>
      </x:c>
      <x:c r="B20" s="35" t="str">
        <x:v>https://developers.cloudflare.com/r2/pricing/</x:v>
      </x:c>
      <x:c r="C20" s="35" t="str">
        <x:v>Audio object storage and egress assumptions.</x:v>
      </x:c>
      <x:c r="D20" s="65" t="str">
        <x:v>2026-08-15</x:v>
      </x:c>
    </x:row>
    <x:row r="21" ht="42" customHeight="1">
      <x:c r="A21" s="35" t="str">
        <x:v>Cloudflare Queues pricing</x:v>
      </x:c>
      <x:c r="B21" s="35" t="str">
        <x:v>https://developers.cloudflare.com/queues/platform/pricing/</x:v>
      </x:c>
      <x:c r="C21" s="35" t="str">
        <x:v>Asynchronous synthesis and delivery cost assumptions.</x:v>
      </x:c>
      <x:c r="D21" s="65" t="str">
        <x:v>2026-08-15</x:v>
      </x:c>
    </x:row>
    <x:row r="22" ht="42" customHeight="1">
      <x:c r="A22" s="36" t="str">
        <x:v>Firebase pricing plans</x:v>
      </x:c>
      <x:c r="B22" s="36" t="str">
        <x:v>https://firebase.google.com/docs/projects/billing/firebase-pricing-plans</x:v>
      </x:c>
      <x:c r="C22" s="36" t="str">
        <x:v>Authentication billing assumptions.</x:v>
      </x:c>
      <x:c r="D22" s="66" t="str">
        <x:v>2026-08-15</x:v>
      </x:c>
    </x:row>
  </x:sheetData>
  <x:mergeCells>
    <x:mergeCell ref="A1:D1"/>
    <x:mergeCell ref="A2:D2"/>
    <x:mergeCell ref="A4:D4"/>
    <x:mergeCell ref="B5:D5"/>
    <x:mergeCell ref="B6:D6"/>
    <x:mergeCell ref="B7:D7"/>
    <x:mergeCell ref="B8:D8"/>
  </x:mergeCells>
  <x:pageMargins left="0.7" right="0.7" top="0.75" bottom="0.75" header="0.3" footer="0.3"/>
  <x:tableParts count="1">
    <x:tablePart xmlns:r="http://schemas.openxmlformats.org/officeDocument/2006/relationships" r:id="R92e7370fe50d4252"/>
  </x:tableParts>
</x:worksheet>
</file>